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Supuestos" sheetId="3" state="visible" r:id="rId5"/>
    <sheet name="Costeo" sheetId="4" state="visible" r:id="rId6"/>
    <sheet name="Cartucho" sheetId="5" state="visible" r:id="rId7"/>
    <sheet name="Cascada" sheetId="6" state="visible" r:id="rId8"/>
    <sheet name="Volumen" sheetId="7" state="visible" r:id="rId9"/>
    <sheet name="Resultados" sheetId="8" state="visible" r:id="rId10"/>
    <sheet name="Flujo" sheetId="9" state="visible" r:id="rId11"/>
    <sheet name="Capex_Capacidad" sheetId="10" state="visible" r:id="rId12"/>
    <sheet name="Palancas" sheetId="11" state="visible" r:id="rId13"/>
    <sheet name="Sensibilidad" sheetId="12" state="visible" r:id="rId14"/>
    <sheet name="Todos_ganan" sheetId="13" state="visible" r:id="rId15"/>
    <sheet name="Distribuidor" sheetId="14" state="visible" r:id="rId16"/>
    <sheet name="Competencia" sheetId="15" state="visible" r:id="rId17"/>
    <sheet name="Prueba_encendido" sheetId="16" state="visible" r:id="rId18"/>
    <sheet name="Riesgos" sheetId="17" state="visible" r:id="rId19"/>
    <sheet name="Fuentes" sheetId="18" state="visible" r:id="rId20"/>
  </sheets>
  <definedNames>
    <definedName function="false" hidden="false" name="adop_parr" vbProcedure="false">Supuestos!$F$93</definedName>
    <definedName function="false" hidden="false" name="ahorro_cliente" vbProcedure="false">Todos_ganan!$B$28</definedName>
    <definedName function="false" hidden="false" name="arr_fotos" vbProcedure="false">Supuestos!$F$149</definedName>
    <definedName function="false" hidden="false" name="arr_legal" vbProcedure="false">Supuestos!$F$148</definedName>
    <definedName function="false" hidden="false" name="arr_marca" vbProcedure="false">Supuestos!$F$147</definedName>
    <definedName function="false" hidden="false" name="arr_proto" vbProcedure="false">Supuestos!$F$150</definedName>
    <definedName function="false" hidden="false" name="asist_taller" vbProcedure="false">Supuestos!$F$123</definedName>
    <definedName function="false" hidden="false" name="atencion_pers" vbProcedure="false">Supuestos!$F$47</definedName>
    <definedName function="false" hidden="false" name="caja_minima" vbProcedure="false">Supuestos!$F$158</definedName>
    <definedName function="false" hidden="false" name="caja_regalo" vbProcedure="false">Supuestos!$F$51</definedName>
    <definedName function="false" hidden="false" name="campanas_alta" vbProcedure="false">Supuestos!$F$105</definedName>
    <definedName function="false" hidden="false" name="campanas_normal" vbProcedure="false">Supuestos!$F$104</definedName>
    <definedName function="false" hidden="false" name="capex_n1" vbProcedure="false">Capex_Capacidad!$D$16</definedName>
    <definedName function="false" hidden="false" name="capex_n2" vbProcedure="false">Capex_Capacidad!$D$31</definedName>
    <definedName function="false" hidden="false" name="capex_n3" vbProcedure="false">Capex_Capacidad!$D$43</definedName>
    <definedName function="false" hidden="false" name="capital_max" vbProcedure="false">Flujo!$C$20</definedName>
    <definedName function="false" hidden="false" name="cap_n2_mes" vbProcedure="false">Capex_Capacidad!$B$63</definedName>
    <definedName function="false" hidden="false" name="carga_inicial" vbProcedure="false">Supuestos!$F$76</definedName>
    <definedName function="false" hidden="false" name="carga_social" vbProcedure="false">Supuestos!$F$63</definedName>
    <definedName function="false" hidden="false" name="cart_ciclo" vbProcedure="false">Supuestos!$F$191</definedName>
    <definedName function="false" hidden="false" name="cart_costo" vbProcedure="false">Supuestos!$F$185</definedName>
    <definedName function="false" hidden="false" name="cart_deposito" vbProcedure="false">Supuestos!$F$188</definedName>
    <definedName function="false" hidden="false" name="cart_log_inv" vbProcedure="false">Supuestos!$F$190</definedName>
    <definedName function="false" hidden="false" name="cart_neto" vbProcedure="false">Cartucho!$B$20</definedName>
    <definedName function="false" hidden="false" name="cart_reproceso" vbProcedure="false">Supuestos!$F$189</definedName>
    <definedName function="false" hidden="false" name="cart_retorno" vbProcedure="false">Supuestos!$F$187</definedName>
    <definedName function="false" hidden="false" name="cart_vueltas" vbProcedure="false">Supuestos!$F$186</definedName>
    <definedName function="false" hidden="false" name="comision_directa" vbProcedure="false">Supuestos!$F$131</definedName>
    <definedName function="false" hidden="false" name="comision_mp" vbProcedure="false">Supuestos!$F$118</definedName>
    <definedName function="false" hidden="false" name="comp_repuesto" vbProcedure="false">Competencia!$D$9</definedName>
    <definedName function="false" hidden="false" name="comp_semanal" vbProcedure="false">Competencia!$D$5</definedName>
    <definedName function="false" hidden="false" name="comp_sem_hora" vbProcedure="false">Competencia!$H$5</definedName>
    <definedName function="false" hidden="false" name="com_bancaria" vbProcedure="false">Supuestos!$F$132</definedName>
    <definedName function="false" hidden="false" name="consumibles_pza" vbProcedure="false">Supuestos!$F$66</definedName>
    <definedName function="false" hidden="false" name="contador" vbProcedure="false">Supuestos!$F$140</definedName>
    <definedName function="false" hidden="false" name="contrib_pieza" vbProcedure="false">Sensibilidad!$B$9</definedName>
    <definedName function="false" hidden="false" name="costo_fijo_taller" vbProcedure="false">Supuestos!$F$125</definedName>
    <definedName function="false" hidden="false" name="costo_ins_pct" vbProcedure="false">Supuestos!$F$117</definedName>
    <definedName function="false" hidden="false" name="costo_mat_taller" vbProcedure="false">Supuestos!$F$124</definedName>
    <definedName function="false" hidden="false" name="costo_prem" vbProcedure="false">Supuestos!$F$111</definedName>
    <definedName function="false" hidden="false" name="costo_rec_prem" vbProcedure="false">Supuestos!$F$113</definedName>
    <definedName function="false" hidden="false" name="costo_registro" vbProcedure="false">Supuestos!$F$129</definedName>
    <definedName function="false" hidden="false" name="cost_corp" vbProcedure="false">Costeo!$G$28</definedName>
    <definedName function="false" hidden="false" name="cost_per" vbProcedure="false">Costeo!$F$28</definedName>
    <definedName function="false" hidden="false" name="cost_pond" vbProcedure="false">Cascada!$B$34</definedName>
    <definedName function="false" hidden="false" name="cost_rep" vbProcedure="false">Costeo!$D$28</definedName>
    <definedName function="false" hidden="false" name="cost_sem" vbProcedure="false">Costeo!$C$28</definedName>
    <definedName function="false" hidden="false" name="cost_tem" vbProcedure="false">Costeo!$E$28</definedName>
    <definedName function="false" hidden="false" name="crec_anual" vbProcedure="false">Supuestos!$F$75</definedName>
    <definedName function="false" hidden="false" name="dep_n1" vbProcedure="false">Supuestos!$F$152</definedName>
    <definedName function="false" hidden="false" name="dep_n2" vbProcedure="false">Supuestos!$F$153</definedName>
    <definedName function="false" hidden="false" name="dg_pond" vbProcedure="false">Cascada!$B$32</definedName>
    <definedName function="false" hidden="false" name="dias_cobro_dir" vbProcedure="false">Supuestos!$F$155</definedName>
    <definedName function="false" hidden="false" name="dias_cobro_dist" vbProcedure="false">Supuestos!$F$154</definedName>
    <definedName function="false" hidden="false" name="dias_habiles" vbProcedure="false">Supuestos!$F$15</definedName>
    <definedName function="false" hidden="false" name="dias_inv" vbProcedure="false">Supuestos!$F$156</definedName>
    <definedName function="false" hidden="false" name="dias_pago" vbProcedure="false">Supuestos!$F$157</definedName>
    <definedName function="false" hidden="false" name="dist_mes" vbProcedure="false">Todos_ganan!$B$18</definedName>
    <definedName function="false" hidden="false" name="ebitda_mes_y2" vbProcedure="false">Todos_ganan!$B$19</definedName>
    <definedName function="false" hidden="false" name="empaque_rep" vbProcedure="false">Supuestos!$F$50</definedName>
    <definedName function="false" hidden="false" name="empaque_sem" vbProcedure="false">Supuestos!$F$49</definedName>
    <definedName function="false" hidden="false" name="energia_pza" vbProcedure="false">Supuestos!$F$65</definedName>
    <definedName function="false" hidden="false" name="envio_ins" vbProcedure="false">Supuestos!$F$119</definedName>
    <definedName function="false" hidden="false" name="est_flag" vbProcedure="false">Supuestos!$E$169:$E$180</definedName>
    <definedName function="false" hidden="false" name="est_idx" vbProcedure="false">Supuestos!$D$169:$D$180</definedName>
    <definedName function="false" hidden="false" name="etiqueta" vbProcedure="false">Supuestos!$F$44</definedName>
    <definedName function="false" hidden="false" name="exhibidor" vbProcedure="false">Supuestos!$F$79</definedName>
    <definedName function="false" hidden="false" name="extra_impr" vbProcedure="false">Supuestos!$F$46</definedName>
    <definedName function="false" hidden="false" name="extra_temp" vbProcedure="false">Supuestos!$F$45</definedName>
    <definedName function="false" hidden="false" name="factor_intern" vbProcedure="false">Supuestos!$F$40</definedName>
    <definedName function="false" hidden="false" name="factor_transf_rep" vbProcedure="false">Supuestos!$F$67</definedName>
    <definedName function="false" hidden="false" name="fecha_inicio" vbProcedure="false">Supuestos!$F$13</definedName>
    <definedName function="false" hidden="false" name="fijos_mes_y2" vbProcedure="false">Sensibilidad!$B$10</definedName>
    <definedName function="false" hidden="false" name="flujo_36" vbProcedure="false">Flujo!$C$22</definedName>
    <definedName function="false" hidden="false" name="funda_rep" vbProcedure="false">Supuestos!$F$48</definedName>
    <definedName function="false" hidden="false" name="gph" vbProcedure="false">Supuestos!$F$36</definedName>
    <definedName function="false" hidden="false" name="gramos_sem" vbProcedure="false">Costeo!$C$8</definedName>
    <definedName function="false" hidden="false" name="horas_gar" vbProcedure="false">Supuestos!$F$35</definedName>
    <definedName function="false" hidden="false" name="horas_noche" vbProcedure="false">Supuestos!$F$101</definedName>
    <definedName function="false" hidden="false" name="inicio_ins" vbProcedure="false">Supuestos!$F$114</definedName>
    <definedName function="false" hidden="false" name="inicio_parr" vbProcedure="false">Supuestos!$F$94</definedName>
    <definedName function="false" hidden="false" name="inicio_prem" vbProcedure="false">Supuestos!$F$109</definedName>
    <definedName function="false" hidden="false" name="inicio_recaud" vbProcedure="false">Supuestos!$F$103</definedName>
    <definedName function="false" hidden="false" name="inicio_rest" vbProcedure="false">Supuestos!$F$98</definedName>
    <definedName function="false" hidden="false" name="inicio_taller" vbProcedure="false">Supuestos!$F$121</definedName>
    <definedName function="false" hidden="false" name="isr" vbProcedure="false">Supuestos!$F$11</definedName>
    <definedName function="false" hidden="false" name="iva" vbProcedure="false">Supuestos!$F$10</definedName>
    <definedName function="false" hidden="false" name="logo" vbProcedure="false">Supuestos!$F$52</definedName>
    <definedName function="false" hidden="false" name="mat_corp" vbProcedure="false">Costeo!$G$22</definedName>
    <definedName function="false" hidden="false" name="mat_per" vbProcedure="false">Costeo!$F$22</definedName>
    <definedName function="false" hidden="false" name="mat_rep" vbProcedure="false">Costeo!$D$22</definedName>
    <definedName function="false" hidden="false" name="mat_sem" vbProcedure="false">Costeo!$C$22</definedName>
    <definedName function="false" hidden="false" name="mat_tem" vbProcedure="false">Costeo!$E$22</definedName>
    <definedName function="false" hidden="false" name="mecha" vbProcedure="false">Supuestos!$F$43</definedName>
    <definedName function="false" hidden="false" name="merma" vbProcedure="false">Supuestos!$F$53</definedName>
    <definedName function="false" hidden="false" name="mesas_rest" vbProcedure="false">Supuestos!$F$100</definedName>
    <definedName function="false" hidden="false" name="meses_horizonte" vbProcedure="false">Supuestos!$F$16</definedName>
    <definedName function="false" hidden="false" name="meses_piloto" vbProcedure="false">Supuestos!$F$73</definedName>
    <definedName function="false" hidden="false" name="meses_rampa" vbProcedure="false">Supuestos!$F$74</definedName>
    <definedName function="false" hidden="false" name="mes_atencion" vbProcedure="false">Supuestos!$F$138</definedName>
    <definedName function="false" hidden="false" name="mes_n3" vbProcedure="false">Capex_Capacidad!$B$77</definedName>
    <definedName function="false" hidden="false" name="mes_planta" vbProcedure="false">Supuestos!$F$68</definedName>
    <definedName function="false" hidden="false" name="mes_recup" vbProcedure="false">Flujo!$C$21</definedName>
    <definedName function="false" hidden="false" name="mix_alta_per" vbProcedure="false">Supuestos!$F$88</definedName>
    <definedName function="false" hidden="false" name="mix_alta_rep" vbProcedure="false">Supuestos!$F$86</definedName>
    <definedName function="false" hidden="false" name="mix_alta_sem" vbProcedure="false">Supuestos!$F$85</definedName>
    <definedName function="false" hidden="false" name="mix_alta_tem" vbProcedure="false">Supuestos!$F$87</definedName>
    <definedName function="false" hidden="false" name="mix_per" vbProcedure="false">Supuestos!$F$84</definedName>
    <definedName function="false" hidden="false" name="mix_rep" vbProcedure="false">Supuestos!$F$82</definedName>
    <definedName function="false" hidden="false" name="mix_sem" vbProcedure="false">Supuestos!$F$81</definedName>
    <definedName function="false" hidden="false" name="mix_tem" vbProcedure="false">Supuestos!$F$83</definedName>
    <definedName function="false" hidden="false" name="mult_salario" vbProcedure="false">Supuestos!$F$62</definedName>
    <definedName function="false" hidden="false" name="m_dist" vbProcedure="false">Supuestos!$F$32</definedName>
    <definedName function="false" hidden="false" name="m_tienda" vbProcedure="false">Supuestos!$F$31</definedName>
    <definedName function="false" hidden="false" name="net_corp" vbProcedure="false">Cascada!$C$41</definedName>
    <definedName function="false" hidden="false" name="net_ins" vbProcedure="false">Cascada!$C$44</definedName>
    <definedName function="false" hidden="false" name="net_parr" vbProcedure="false">Cascada!$C$38</definedName>
    <definedName function="false" hidden="false" name="net_per" vbProcedure="false">Cascada!$E$12</definedName>
    <definedName function="false" hidden="false" name="net_pond" vbProcedure="false">Cascada!$B$33</definedName>
    <definedName function="false" hidden="false" name="net_prem" vbProcedure="false">Cascada!$C$42</definedName>
    <definedName function="false" hidden="false" name="net_recaud" vbProcedure="false">Cascada!$C$40</definedName>
    <definedName function="false" hidden="false" name="net_recp" vbProcedure="false">Cascada!$C$43</definedName>
    <definedName function="false" hidden="false" name="net_rep" vbProcedure="false">Cascada!$C$12</definedName>
    <definedName function="false" hidden="false" name="net_rest" vbProcedure="false">Cascada!$C$39</definedName>
    <definedName function="false" hidden="false" name="net_sem" vbProcedure="false">Cascada!$B$12</definedName>
    <definedName function="false" hidden="false" name="net_taller" vbProcedure="false">Cascada!$C$45</definedName>
    <definedName function="false" hidden="false" name="net_tem" vbProcedure="false">Cascada!$D$12</definedName>
    <definedName function="false" hidden="false" name="noches_mes" vbProcedure="false">Supuestos!$F$102</definedName>
    <definedName function="false" hidden="false" name="org_pct" vbProcedure="false">Supuestos!$F$33</definedName>
    <definedName function="false" hidden="false" name="paraf_usd" vbProcedure="false">Supuestos!$F$39</definedName>
    <definedName function="false" hidden="false" name="parroquias_total" vbProcedure="false">Supuestos!$F$92</definedName>
    <definedName function="false" hidden="false" name="pct_devol" vbProcedure="false">Supuestos!$F$77</definedName>
    <definedName function="false" hidden="false" name="pct_garantia" vbProcedure="false">Supuestos!$F$127</definedName>
    <definedName function="false" hidden="false" name="pct_marketing" vbProcedure="false">Supuestos!$F$130</definedName>
    <definedName function="false" hidden="false" name="pct_qr" vbProcedure="false">Supuestos!$F$128</definedName>
    <definedName function="false" hidden="false" name="pedidos_corp" vbProcedure="false">Supuestos!$F$107</definedName>
    <definedName function="false" hidden="false" name="pedidos_ins_meta" vbProcedure="false">Supuestos!$F$116</definedName>
    <definedName function="false" hidden="false" name="perdida_devol" vbProcedure="false">Supuestos!$F$78</definedName>
    <definedName function="false" hidden="false" name="pe_planta" vbProcedure="false">Capex_Capacidad!$B$57</definedName>
    <definedName function="false" hidden="false" name="pop" vbProcedure="false">Supuestos!$F$80</definedName>
    <definedName function="false" hidden="false" name="prod_n2" vbProcedure="false">Supuestos!$F$64</definedName>
    <definedName function="false" hidden="false" name="pruebas" vbProcedure="false">Supuestos!$F$144</definedName>
    <definedName function="false" hidden="false" name="ptu" vbProcedure="false">Supuestos!$F$12</definedName>
    <definedName function="false" hidden="false" name="publicidad_ins" vbProcedure="false">Supuestos!$F$120</definedName>
    <definedName function="false" hidden="false" name="pzas_campana" vbProcedure="false">Supuestos!$F$106</definedName>
    <definedName function="false" hidden="false" name="pzas_pedido_corp" vbProcedure="false">Supuestos!$F$108</definedName>
    <definedName function="false" hidden="false" name="pzas_tarima_rep" vbProcedure="false">Supuestos!$F$58</definedName>
    <definedName function="false" hidden="false" name="pzas_tarima_sem" vbProcedure="false">Supuestos!$F$57</definedName>
    <definedName function="false" hidden="false" name="p_corp" vbProcedure="false">Supuestos!$F$23</definedName>
    <definedName function="false" hidden="false" name="p_parroquia" vbProcedure="false">Supuestos!$F$24</definedName>
    <definedName function="false" hidden="false" name="p_per" vbProcedure="false">Supuestos!$F$22</definedName>
    <definedName function="false" hidden="false" name="p_pond" vbProcedure="false">Cascada!$B$30</definedName>
    <definedName function="false" hidden="false" name="p_premium" vbProcedure="false">Supuestos!$F$26</definedName>
    <definedName function="false" hidden="false" name="p_rec_prem" vbProcedure="false">Supuestos!$F$27</definedName>
    <definedName function="false" hidden="false" name="p_rep" vbProcedure="false">Supuestos!$F$20</definedName>
    <definedName function="false" hidden="false" name="p_rest" vbProcedure="false">Supuestos!$F$25</definedName>
    <definedName function="false" hidden="false" name="p_sem" vbProcedure="false">Supuestos!$F$19</definedName>
    <definedName function="false" hidden="false" name="p_taller" vbProcedure="false">Supuestos!$F$29</definedName>
    <definedName function="false" hidden="false" name="p_tem" vbProcedure="false">Supuestos!$F$21</definedName>
    <definedName function="false" hidden="false" name="rampa_ins" vbProcedure="false">Supuestos!$F$115</definedName>
    <definedName function="false" hidden="false" name="rampa_parr" vbProcedure="false">Supuestos!$F$95</definedName>
    <definedName function="false" hidden="false" name="rampa_rest" vbProcedure="false">Supuestos!$F$99</definedName>
    <definedName function="false" hidden="false" name="ref_refrescos" vbProcedure="false">Supuestos!$F$17</definedName>
    <definedName function="false" hidden="false" name="renta" vbProcedure="false">Supuestos!$F$69</definedName>
    <definedName function="false" hidden="false" name="rep_sem_parr" vbProcedure="false">Supuestos!$F$96</definedName>
    <definedName function="false" hidden="false" name="residual" vbProcedure="false">Supuestos!$F$37</definedName>
    <definedName function="false" hidden="false" name="rest_meta" vbProcedure="false">Supuestos!$F$97</definedName>
    <definedName function="false" hidden="false" name="salario_min" vbProcedure="false">Supuestos!$F$61</definedName>
    <definedName function="false" hidden="false" name="seguros" vbProcedure="false">Supuestos!$F$143</definedName>
    <definedName function="false" hidden="false" name="sel_costos" vbProcedure="false">Supuestos!$D$5</definedName>
    <definedName function="false" hidden="false" name="sel_rep" vbProcedure="false">Supuestos!$D$184</definedName>
    <definedName function="false" hidden="false" name="sel_vol" vbProcedure="false">Supuestos!$D$6</definedName>
    <definedName function="false" hidden="false" name="semanas_mes" vbProcedure="false">Supuestos!$F$14</definedName>
    <definedName function="false" hidden="false" name="servicios" vbProcedure="false">Supuestos!$F$141</definedName>
    <definedName function="false" hidden="false" name="software" vbProcedure="false">Supuestos!$F$142</definedName>
    <definedName function="false" hidden="false" name="sueldo_aten" vbProcedure="false">Supuestos!$F$137</definedName>
    <definedName function="false" hidden="false" name="sueldo_com" vbProcedure="false">Supuestos!$F$135</definedName>
    <definedName function="false" hidden="false" name="sueldo_dir" vbProcedure="false">Supuestos!$F$134</definedName>
    <definedName function="false" hidden="false" name="sueldo_dis" vbProcedure="false">Supuestos!$F$136</definedName>
    <definedName function="false" hidden="false" name="sueldo_sup" vbProcedure="false">Supuestos!$F$139</definedName>
    <definedName function="false" hidden="false" name="talleres_mes" vbProcedure="false">Supuestos!$F$122</definedName>
    <definedName function="false" hidden="false" name="tarimas_viaje" vbProcedure="false">Supuestos!$F$56</definedName>
    <definedName function="false" hidden="false" name="tc" vbProcedure="false">Supuestos!$F$9</definedName>
    <definedName function="false" hidden="false" name="tg_per" vbProcedure="false">Cascada!$E$9</definedName>
    <definedName function="false" hidden="false" name="tg_pond" vbProcedure="false">Cascada!$B$31</definedName>
    <definedName function="false" hidden="false" name="tg_rep" vbProcedure="false">Cascada!$C$9</definedName>
    <definedName function="false" hidden="false" name="tg_sem" vbProcedure="false">Cascada!$B$9</definedName>
    <definedName function="false" hidden="false" name="tg_tem" vbProcedure="false">Cascada!$D$9</definedName>
    <definedName function="false" hidden="false" name="ticket_ins" vbProcedure="false">Supuestos!$F$28</definedName>
    <definedName function="false" hidden="false" name="tiendas_meta" vbProcedure="false">Supuestos!$G$164</definedName>
    <definedName function="false" hidden="false" name="tiendas_piloto" vbProcedure="false">Supuestos!$F$72</definedName>
    <definedName function="false" hidden="false" name="tiendas_universo" vbProcedure="false">Supuestos!$F$71</definedName>
    <definedName function="false" hidden="false" name="tienda_mes" vbProcedure="false">Todos_ganan!$B$14</definedName>
    <definedName function="false" hidden="false" name="transf_maquila" vbProcedure="false">Supuestos!$F$60</definedName>
    <definedName function="false" hidden="false" name="transf_propia" vbProcedure="false">Capex_Capacidad!$B$53</definedName>
    <definedName function="false" hidden="false" name="uds_sem" vbProcedure="false">Supuestos!$G$165</definedName>
    <definedName function="false" hidden="false" name="unid_prem" vbProcedure="false">Supuestos!$F$110</definedName>
    <definedName function="false" hidden="false" name="unid_rec_prem" vbProcedure="false">Supuestos!$F$112</definedName>
    <definedName function="false" hidden="false" name="u_per" vbProcedure="false">Cascada!$E$14</definedName>
    <definedName function="false" hidden="false" name="u_pond" vbProcedure="false">Cascada!$B$28</definedName>
    <definedName function="false" hidden="false" name="u_pond_a" vbProcedure="false">Cascada!$B$29</definedName>
    <definedName function="false" hidden="false" name="u_rep" vbProcedure="false">Cascada!$C$14</definedName>
    <definedName function="false" hidden="false" name="u_sem" vbProcedure="false">Cascada!$B$14</definedName>
    <definedName function="false" hidden="false" name="u_tem" vbProcedure="false">Cascada!$D$14</definedName>
    <definedName function="false" hidden="false" name="vaso" vbProcedure="false">Supuestos!$F$41</definedName>
    <definedName function="false" hidden="false" name="vaso_premium" vbProcedure="false">Supuestos!$F$42</definedName>
    <definedName function="false" hidden="false" name="veladoras_sem_cliente" vbProcedure="false">Supuestos!$F$160</definedName>
    <definedName function="false" hidden="false" name="viaje" vbProcedure="false">Supuestos!$F$55</definedName>
    <definedName function="false" hidden="false" name="viaticos" vbProcedure="false">Supuestos!$F$145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<sst xmlns="http://schemas.openxmlformats.org/spreadsheetml/2006/main" count="1658" uniqueCount="1261">
  <si>
    <t xml:space="preserve">Modelo de negocio · La Vela</t>
  </si>
  <si>
    <t xml:space="preserve">Veladora diseñada para durar, con cartucho retornable, distribuida en tiendas y misceláneas a través de distribuidores con rutas, más canales directos y línea premium. Modelo a 36 meses en pesos mexicanos. Versión 2 · octubre de 2026.</t>
  </si>
  <si>
    <t xml:space="preserve">Cómo se usa</t>
  </si>
  <si>
    <t xml:space="preserve">1. En 'Supuestos', celda D5: elige 1 = Base (lo que platicamos) o 2 = Optimizado. Celda D6: volumen Conservador, Medio o Alto.</t>
  </si>
  <si>
    <t xml:space="preserve">2. Cambia cualquier celda con marco. Todo se recalcula solo. Las de marco grueso son las que más mueven el resultado.</t>
  </si>
  <si>
    <t xml:space="preserve">3. Lee 'Resumen'. Para negociar con el distribuidor usa 'Todos_ganan'. Para encontrar dinero usa 'Palancas' y 'Sensibilidad'.</t>
  </si>
  <si>
    <t xml:space="preserve">4. Cuando tengas cotizaciones y pruebas reales, reemplaza los ESTIMADOS y marca el riesgo como Validado en 'Riesgos'.</t>
  </si>
  <si>
    <t xml:space="preserve">5. En 'Supuestos', celda D184: elige 1 = repuesto con funda o 2 = cartucho retornable. La hoja 'Cartucho' explica la diferencia.</t>
  </si>
  <si>
    <t xml:space="preserve">Cómo se lee</t>
  </si>
  <si>
    <t xml:space="preserve">Marco delgado</t>
  </si>
  <si>
    <t xml:space="preserve">Dato que puedes cambiar.</t>
  </si>
  <si>
    <t xml:space="preserve">Marco grueso</t>
  </si>
  <si>
    <t xml:space="preserve">Selector o supuesto clave: lo que más mueve el resultado.</t>
  </si>
  <si>
    <t xml:space="preserve">Fondo negro</t>
  </si>
  <si>
    <t xml:space="preserve">Resultado clave, o encabezado de tabla.</t>
  </si>
  <si>
    <t xml:space="preserve">Sin marco</t>
  </si>
  <si>
    <t xml:space="preserve">Fórmula: no tocar.</t>
  </si>
  <si>
    <t xml:space="preserve">Hojas</t>
  </si>
  <si>
    <t xml:space="preserve">Resumen</t>
  </si>
  <si>
    <t xml:space="preserve">Resultados por año, capital, punto de equilibrio y comparación Base vs Optimizado.</t>
  </si>
  <si>
    <t xml:space="preserve">Supuestos</t>
  </si>
  <si>
    <t xml:space="preserve">Todos los datos editables con su fuente. Selectores de escenario.</t>
  </si>
  <si>
    <t xml:space="preserve">Costeo</t>
  </si>
  <si>
    <t xml:space="preserve">Costo por pieza de cada producto, de la cera a la caja.</t>
  </si>
  <si>
    <t xml:space="preserve">Cartucho</t>
  </si>
  <si>
    <t xml:space="preserve">NUEVA. El cartucho retornable: cuánto cuesta cada llenado, cuántos hay que comprar y qué cambia contra la funda.</t>
  </si>
  <si>
    <t xml:space="preserve">Cascada</t>
  </si>
  <si>
    <t xml:space="preserve">Quién gana qué en cada pieza, a dónde se va cada peso y economía de canales directos.</t>
  </si>
  <si>
    <t xml:space="preserve">Todos_ganan</t>
  </si>
  <si>
    <t xml:space="preserve">Lo que gana el cliente, la tienda, el distribuidor y nosotros.</t>
  </si>
  <si>
    <t xml:space="preserve">Distribuidor</t>
  </si>
  <si>
    <t xml:space="preserve">NUEVA. Cuánto gana un distribuidor según cuántas tiendas surte, y cómo se califica una solicitud.</t>
  </si>
  <si>
    <t xml:space="preserve">Volumen</t>
  </si>
  <si>
    <t xml:space="preserve">Tiendas, piezas y canales mes a mes.</t>
  </si>
  <si>
    <t xml:space="preserve">Resultados</t>
  </si>
  <si>
    <t xml:space="preserve">Estado de resultados mensual y anual.</t>
  </si>
  <si>
    <t xml:space="preserve">Flujo</t>
  </si>
  <si>
    <t xml:space="preserve">Flujo de efectivo, capital de trabajo, necesidad de capital y recuperación.</t>
  </si>
  <si>
    <t xml:space="preserve">Capex_Capacidad</t>
  </si>
  <si>
    <t xml:space="preserve">Equipo por nivel, costo de transformación propia y capacidad de planta.</t>
  </si>
  <si>
    <t xml:space="preserve">Palancas</t>
  </si>
  <si>
    <t xml:space="preserve">Cuánto dinero deja cada mejora de eficiencia, e ideas extra.</t>
  </si>
  <si>
    <t xml:space="preserve">Sensibilidad</t>
  </si>
  <si>
    <t xml:space="preserve">Tablas de qué pasa si cambian parafina, precio, márgenes, volumen y vaso.</t>
  </si>
  <si>
    <t xml:space="preserve">Competencia</t>
  </si>
  <si>
    <t xml:space="preserve">Precios de competencia y captura de pruebas de horas reales.</t>
  </si>
  <si>
    <t xml:space="preserve">Prueba_encendido</t>
  </si>
  <si>
    <t xml:space="preserve">Plantilla para registrar las pruebas de encendido.</t>
  </si>
  <si>
    <t xml:space="preserve">Riesgos</t>
  </si>
  <si>
    <t xml:space="preserve">Supuestos por validar con responsable y fecha.</t>
  </si>
  <si>
    <t xml:space="preserve">Fuentes</t>
  </si>
  <si>
    <t xml:space="preserve">De dónde salió cada dato.</t>
  </si>
  <si>
    <t xml:space="preserve">Página del modelo: https://vela.capitaltorreon.com/modelo</t>
  </si>
  <si>
    <t xml:space="preserve">Ing. Ricardo López Reyero · Torreón, Coahuila</t>
  </si>
  <si>
    <t xml:space="preserve">Resumen ejecutivo</t>
  </si>
  <si>
    <t xml:space="preserve">Resultados por año (MXN)</t>
  </si>
  <si>
    <t xml:space="preserve">Año 1</t>
  </si>
  <si>
    <t xml:space="preserve">Año 2</t>
  </si>
  <si>
    <t xml:space="preserve">Año 3</t>
  </si>
  <si>
    <t xml:space="preserve">Ingresos netos</t>
  </si>
  <si>
    <t xml:space="preserve">Utilidad bruta</t>
  </si>
  <si>
    <t xml:space="preserve">Margen bruto</t>
  </si>
  <si>
    <t xml:space="preserve">Contribución</t>
  </si>
  <si>
    <t xml:space="preserve">EBITDA</t>
  </si>
  <si>
    <t xml:space="preserve">Margen EBITDA</t>
  </si>
  <si>
    <t xml:space="preserve">Utilidad neta</t>
  </si>
  <si>
    <t xml:space="preserve">Velas producidas</t>
  </si>
  <si>
    <t xml:space="preserve">Tiendas activas al cierre del año</t>
  </si>
  <si>
    <t xml:space="preserve">Dinero y riesgo</t>
  </si>
  <si>
    <t xml:space="preserve">Valor</t>
  </si>
  <si>
    <t xml:space="preserve">Necesidad máxima de capital (incluye caja mínima)</t>
  </si>
  <si>
    <t xml:space="preserve">Mes en que se recupera lo invertido</t>
  </si>
  <si>
    <t xml:space="preserve">Flujo acumulado al mes 36</t>
  </si>
  <si>
    <t xml:space="preserve">Inversión en equipo en 36 meses</t>
  </si>
  <si>
    <t xml:space="preserve">Punto de equilibrio: piezas al mes en el canal distribuidor (los canales directos ya aportan)</t>
  </si>
  <si>
    <t xml:space="preserve">Piezas al mes promedio año 2 (canal distribuidor)</t>
  </si>
  <si>
    <t xml:space="preserve">Margen de seguridad sobre el punto de equilibrio</t>
  </si>
  <si>
    <t xml:space="preserve">Primer mes en que se rebasa la planta nivel 2</t>
  </si>
  <si>
    <t xml:space="preserve">Volumen mínimo para que convenga planta propia (pzas/mes)</t>
  </si>
  <si>
    <t xml:space="preserve">Por pieza (canal distribuidor)</t>
  </si>
  <si>
    <t xml:space="preserve">Semanal</t>
  </si>
  <si>
    <t xml:space="preserve">Repuesto</t>
  </si>
  <si>
    <t xml:space="preserve">Temporada</t>
  </si>
  <si>
    <t xml:space="preserve">Personalizada</t>
  </si>
  <si>
    <t xml:space="preserve">Precio al público</t>
  </si>
  <si>
    <t xml:space="preserve">La tienda gana</t>
  </si>
  <si>
    <t xml:space="preserve">El distribuidor gana</t>
  </si>
  <si>
    <t xml:space="preserve">Nosotros ganamos</t>
  </si>
  <si>
    <t xml:space="preserve">Nuestro margen</t>
  </si>
  <si>
    <t xml:space="preserve">Costo por hora de luz para el cliente</t>
  </si>
  <si>
    <t xml:space="preserve">Lo que platicamos vs optimizado</t>
  </si>
  <si>
    <t xml:space="preserve">Base</t>
  </si>
  <si>
    <t xml:space="preserve">Optimizado</t>
  </si>
  <si>
    <t xml:space="preserve">Diferencia</t>
  </si>
  <si>
    <t xml:space="preserve">Utilidad por Semanal</t>
  </si>
  <si>
    <t xml:space="preserve">Utilidad por Repuesto</t>
  </si>
  <si>
    <t xml:space="preserve">Utilidad ponderada por pieza</t>
  </si>
  <si>
    <t xml:space="preserve">Nuestra parte del peso del cliente (Semanal)</t>
  </si>
  <si>
    <t xml:space="preserve">Costo de la Semanal</t>
  </si>
  <si>
    <t xml:space="preserve">Gramos de cera por pieza</t>
  </si>
  <si>
    <t xml:space="preserve">Todos ganan (promedio mensual año 2)</t>
  </si>
  <si>
    <t xml:space="preserve">Cada tienda gana al mes</t>
  </si>
  <si>
    <t xml:space="preserve">El distribuidor gana al mes</t>
  </si>
  <si>
    <t xml:space="preserve">Nosotros: EBITDA al mes</t>
  </si>
  <si>
    <t xml:space="preserve">Un cliente devoto ahorra al año</t>
  </si>
  <si>
    <t xml:space="preserve">Supuestos del modelo</t>
  </si>
  <si>
    <t xml:space="preserve">Marco delgado = dato que puedes cambiar · Marco grueso = selector o supuesto clave · La columna F (Activo) es la que usa todo el modelo. Todos los precios al público incluyen IVA; los costos de insumos son sin IVA.</t>
  </si>
  <si>
    <t xml:space="preserve">Clave</t>
  </si>
  <si>
    <t xml:space="preserve">Concepto</t>
  </si>
  <si>
    <t xml:space="preserve">Unidad</t>
  </si>
  <si>
    <t xml:space="preserve">Activo</t>
  </si>
  <si>
    <t xml:space="preserve">Fuente / nota</t>
  </si>
  <si>
    <t xml:space="preserve">sel_costos</t>
  </si>
  <si>
    <t xml:space="preserve">ESCENARIO DE COSTOS Y PRECIOS (1 = Base: lo que platicamos · 2 = Optimizado)</t>
  </si>
  <si>
    <t xml:space="preserve">1 / 2</t>
  </si>
  <si>
    <t xml:space="preserve">Cambia este número y todo el modelo se recalcula.</t>
  </si>
  <si>
    <t xml:space="preserve">sel_vol</t>
  </si>
  <si>
    <t xml:space="preserve">ESCENARIO DE VOLUMEN (1 = Conservador · 2 = Medio · 3 = Alto)</t>
  </si>
  <si>
    <t xml:space="preserve">1 / 2 / 3</t>
  </si>
  <si>
    <t xml:space="preserve">Define tiendas activas y piezas por tienda (tabla al final de esta hoja).</t>
  </si>
  <si>
    <t xml:space="preserve">1. GENERALES</t>
  </si>
  <si>
    <t xml:space="preserve">tc</t>
  </si>
  <si>
    <t xml:space="preserve">Tipo de cambio</t>
  </si>
  <si>
    <t xml:space="preserve">MXN por USD</t>
  </si>
  <si>
    <t xml:space="preserve">DOF del 2-oct-2026: $18.3688 (dolardof.com)</t>
  </si>
  <si>
    <t xml:space="preserve">iva</t>
  </si>
  <si>
    <t xml:space="preserve">IVA</t>
  </si>
  <si>
    <t xml:space="preserve">%</t>
  </si>
  <si>
    <t xml:space="preserve">Tasa general. Las veladoras causan 16%.</t>
  </si>
  <si>
    <t xml:space="preserve">isr</t>
  </si>
  <si>
    <t xml:space="preserve">ISR persona moral</t>
  </si>
  <si>
    <t xml:space="preserve">Tasa general persona moral.</t>
  </si>
  <si>
    <t xml:space="preserve">ptu</t>
  </si>
  <si>
    <t xml:space="preserve">PTU (reparto de utilidades)</t>
  </si>
  <si>
    <t xml:space="preserve">Aproximación: 10% sobre utilidad acumulada positiva.</t>
  </si>
  <si>
    <t xml:space="preserve">fecha_inicio</t>
  </si>
  <si>
    <t xml:space="preserve">Primer mes del modelo</t>
  </si>
  <si>
    <t xml:space="preserve">fecha</t>
  </si>
  <si>
    <t xml:space="preserve">Noviembre 2026: piloto de Guadalupe y Navidad.</t>
  </si>
  <si>
    <t xml:space="preserve">semanas_mes</t>
  </si>
  <si>
    <t xml:space="preserve">Semanas por mes</t>
  </si>
  <si>
    <t xml:space="preserve">semanas</t>
  </si>
  <si>
    <t xml:space="preserve">52 / 12</t>
  </si>
  <si>
    <t xml:space="preserve">dias_habiles</t>
  </si>
  <si>
    <t xml:space="preserve">Días hábiles de producción al mes</t>
  </si>
  <si>
    <t xml:space="preserve">días</t>
  </si>
  <si>
    <t xml:space="preserve">Lunes a sábado.</t>
  </si>
  <si>
    <t xml:space="preserve">meses_horizonte</t>
  </si>
  <si>
    <t xml:space="preserve">Horizonte del modelo</t>
  </si>
  <si>
    <t xml:space="preserve">meses</t>
  </si>
  <si>
    <t xml:space="preserve">No cambiar: el modelo tiene 36 columnas mensuales.</t>
  </si>
  <si>
    <t xml:space="preserve">ref_refrescos</t>
  </si>
  <si>
    <t xml:space="preserve">Margen real de la tienda con refrescos de marca (referencia)</t>
  </si>
  <si>
    <t xml:space="preserve">22–23% (eleventa.com). Sirve para mostrar que la vela le deja más a la tienda.</t>
  </si>
  <si>
    <t xml:space="preserve">2. PRECIOS AL PÚBLICO (con IVA)</t>
  </si>
  <si>
    <t xml:space="preserve">p_sem</t>
  </si>
  <si>
    <t xml:space="preserve">Semanal (vaso + 7 días garantizados)</t>
  </si>
  <si>
    <t xml:space="preserve">$ / pza</t>
  </si>
  <si>
    <t xml:space="preserve">Competencia semanal: $31.50–$34.90 (ver Competencia).</t>
  </si>
  <si>
    <t xml:space="preserve">p_rep</t>
  </si>
  <si>
    <t xml:space="preserve">Repuesto (sin vaso)</t>
  </si>
  <si>
    <t xml:space="preserve">Competencia repuesto: $15.50–$30.90.</t>
  </si>
  <si>
    <t xml:space="preserve">p_tem</t>
  </si>
  <si>
    <t xml:space="preserve">Edición de temporada (San Judas, Guadalupe, Muertos)</t>
  </si>
  <si>
    <t xml:space="preserve">Misma vela con manga premium.</t>
  </si>
  <si>
    <t xml:space="preserve">p_per</t>
  </si>
  <si>
    <t xml:space="preserve">Personalizada (foto / nombre / intención)</t>
  </si>
  <si>
    <t xml:space="preserve">Pedido por WhatsApp desde la tienda.</t>
  </si>
  <si>
    <t xml:space="preserve">p_corp</t>
  </si>
  <si>
    <t xml:space="preserve">Corporativa con logo (regalo de fin de año)</t>
  </si>
  <si>
    <t xml:space="preserve">Venta directa a empresas, sin intermediarios.</t>
  </si>
  <si>
    <t xml:space="preserve">p_parroquia</t>
  </si>
  <si>
    <t xml:space="preserve">Repuesto directo a parroquias</t>
  </si>
  <si>
    <t xml:space="preserve">Lámpara del Santísimo: arde siempre.</t>
  </si>
  <si>
    <t xml:space="preserve">p_rest</t>
  </si>
  <si>
    <t xml:space="preserve">Repuesto directo a restaurantes y hoteles</t>
  </si>
  <si>
    <t xml:space="preserve">Contrato mensual.</t>
  </si>
  <si>
    <t xml:space="preserve">p_premium</t>
  </si>
  <si>
    <t xml:space="preserve">Vela Récord premium (cera de abeja, doble pared) – precio neto recibido</t>
  </si>
  <si>
    <t xml:space="preserve">Promedio entre boutique y venta directa.</t>
  </si>
  <si>
    <t xml:space="preserve">p_rec_prem</t>
  </si>
  <si>
    <t xml:space="preserve">Recarga Vela Récord</t>
  </si>
  <si>
    <t xml:space="preserve">ticket_ins</t>
  </si>
  <si>
    <t xml:space="preserve">Ticket promedio de insumos en línea (mechas, cera, kits)</t>
  </si>
  <si>
    <t xml:space="preserve">$ / pedido</t>
  </si>
  <si>
    <t xml:space="preserve">Mercado Libre / Amazon / sitio propio.</t>
  </si>
  <si>
    <t xml:space="preserve">p_taller</t>
  </si>
  <si>
    <t xml:space="preserve">Taller de velas por persona</t>
  </si>
  <si>
    <t xml:space="preserve">$ / persona</t>
  </si>
  <si>
    <t xml:space="preserve">3. MÁRGENES DEL CANAL (sobre precio al público con IVA)</t>
  </si>
  <si>
    <t xml:space="preserve">m_tienda</t>
  </si>
  <si>
    <t xml:space="preserve">Margen de la tienda / miscelánea</t>
  </si>
  <si>
    <t xml:space="preserve">% del precio</t>
  </si>
  <si>
    <t xml:space="preserve">Validar con el distribuidor. Refrescos: 22–23%.</t>
  </si>
  <si>
    <t xml:space="preserve">m_dist</t>
  </si>
  <si>
    <t xml:space="preserve">Margen del distribuidor</t>
  </si>
  <si>
    <t xml:space="preserve">% de su venta</t>
  </si>
  <si>
    <t xml:space="preserve">Validar con el distribuidor.</t>
  </si>
  <si>
    <t xml:space="preserve">org_pct</t>
  </si>
  <si>
    <t xml:space="preserve">Recaudación: % que se queda la parroquia o el colegio</t>
  </si>
  <si>
    <t xml:space="preserve">Modelo tipo 'galletas de las Girl Scouts'.</t>
  </si>
  <si>
    <t xml:space="preserve">4. RENDIMIENTO DEL PRODUCTO</t>
  </si>
  <si>
    <t xml:space="preserve">horas_gar</t>
  </si>
  <si>
    <t xml:space="preserve">Horas garantizadas (7 días)</t>
  </si>
  <si>
    <t xml:space="preserve">horas</t>
  </si>
  <si>
    <t xml:space="preserve">Promesa: 7 días o te damos otra.</t>
  </si>
  <si>
    <t xml:space="preserve">gph</t>
  </si>
  <si>
    <t xml:space="preserve">Consumo de parafina con mecha optimizada</t>
  </si>
  <si>
    <t xml:space="preserve">g / hora</t>
  </si>
  <si>
    <t xml:space="preserve">VALIDAR con prueba de encendido. Mecha estándar: ~5 g/h parafina (Enrich Bodycare).</t>
  </si>
  <si>
    <t xml:space="preserve">residual</t>
  </si>
  <si>
    <t xml:space="preserve">Cera que queda sin quemar al fondo</t>
  </si>
  <si>
    <t xml:space="preserve">Cuello de la base metálica.</t>
  </si>
  <si>
    <t xml:space="preserve">5. MATERIALES (sin IVA)</t>
  </si>
  <si>
    <t xml:space="preserve">paraf_usd</t>
  </si>
  <si>
    <t xml:space="preserve">Parafina totalmente refinada – precio internacional</t>
  </si>
  <si>
    <t xml:space="preserve">USD / tonelada</t>
  </si>
  <si>
    <t xml:space="preserve">ChemAnalyst: promedio Norteamérica Q2-2026 USD 1,461/t.</t>
  </si>
  <si>
    <t xml:space="preserve">factor_intern</t>
  </si>
  <si>
    <t xml:space="preserve">Factor de flete, importación y margen del proveedor</t>
  </si>
  <si>
    <t xml:space="preserve">x</t>
  </si>
  <si>
    <t xml:space="preserve">Base: compra por costal a distribuidor. Opt: compra directa por tonelada.</t>
  </si>
  <si>
    <t xml:space="preserve">vaso</t>
  </si>
  <si>
    <t xml:space="preserve">Vaso de vidrio tipo veladora</t>
  </si>
  <si>
    <t xml:space="preserve">ESTIMADO: cotizar por millar con 3 vidrieras.</t>
  </si>
  <si>
    <t xml:space="preserve">vaso_premium</t>
  </si>
  <si>
    <t xml:space="preserve">Vaso premium (corporativo)</t>
  </si>
  <si>
    <t xml:space="preserve">ESTIMADO.</t>
  </si>
  <si>
    <t xml:space="preserve">mecha</t>
  </si>
  <si>
    <t xml:space="preserve">Mecha cortada + base metálica</t>
  </si>
  <si>
    <t xml:space="preserve">ESTIMADO: carrete + bases por millar.</t>
  </si>
  <si>
    <t xml:space="preserve">etiqueta</t>
  </si>
  <si>
    <t xml:space="preserve">Etiqueta / manga impresa estándar</t>
  </si>
  <si>
    <t xml:space="preserve">extra_temp</t>
  </si>
  <si>
    <t xml:space="preserve">Extra manga premium de temporada</t>
  </si>
  <si>
    <t xml:space="preserve">extra_impr</t>
  </si>
  <si>
    <t xml:space="preserve">Extra impresión personalizada</t>
  </si>
  <si>
    <t xml:space="preserve">ESTIMADO: impresión digital por pieza.</t>
  </si>
  <si>
    <t xml:space="preserve">atencion_pers</t>
  </si>
  <si>
    <t xml:space="preserve">Atención y diseño por personalizada</t>
  </si>
  <si>
    <t xml:space="preserve">Tiempo de diseño por WhatsApp.</t>
  </si>
  <si>
    <t xml:space="preserve">funda_rep</t>
  </si>
  <si>
    <t xml:space="preserve">Funda / envoltura del repuesto</t>
  </si>
  <si>
    <t xml:space="preserve">empaque_sem</t>
  </si>
  <si>
    <t xml:space="preserve">Caja master prorrateada (vela con vaso)</t>
  </si>
  <si>
    <t xml:space="preserve">Caja de 12 piezas.</t>
  </si>
  <si>
    <t xml:space="preserve">empaque_rep</t>
  </si>
  <si>
    <t xml:space="preserve">Caja master prorrateada (repuesto)</t>
  </si>
  <si>
    <t xml:space="preserve">caja_regalo</t>
  </si>
  <si>
    <t xml:space="preserve">Caja de regalo (corporativo)</t>
  </si>
  <si>
    <t xml:space="preserve">logo</t>
  </si>
  <si>
    <t xml:space="preserve">Grabado / impresión de logo (corporativo)</t>
  </si>
  <si>
    <t xml:space="preserve">merma</t>
  </si>
  <si>
    <t xml:space="preserve">Merma total (producción + rotura)</t>
  </si>
  <si>
    <t xml:space="preserve">6. LOGÍSTICA (planta → bodega del distribuidor)</t>
  </si>
  <si>
    <t xml:space="preserve">viaje</t>
  </si>
  <si>
    <t xml:space="preserve">Costo por viaje local</t>
  </si>
  <si>
    <t xml:space="preserve">$ / viaje</t>
  </si>
  <si>
    <t xml:space="preserve">ESTIMADO. El último tramo lo hace la ruta del distribuidor.</t>
  </si>
  <si>
    <t xml:space="preserve">tarimas_viaje</t>
  </si>
  <si>
    <t xml:space="preserve">Tarimas por viaje</t>
  </si>
  <si>
    <t xml:space="preserve">tarimas</t>
  </si>
  <si>
    <t xml:space="preserve">Opt: camión más grande, menos viajes.</t>
  </si>
  <si>
    <t xml:space="preserve">pzas_tarima_sem</t>
  </si>
  <si>
    <t xml:space="preserve">Piezas con vaso por tarima</t>
  </si>
  <si>
    <t xml:space="preserve">pzas</t>
  </si>
  <si>
    <t xml:space="preserve">Opt: acomodo optimizado de cajas.</t>
  </si>
  <si>
    <t xml:space="preserve">pzas_tarima_rep</t>
  </si>
  <si>
    <t xml:space="preserve">Repuestos por tarima</t>
  </si>
  <si>
    <t xml:space="preserve">Sin vidrio: más piezas por tarima.</t>
  </si>
  <si>
    <t xml:space="preserve">7. TRANSFORMACIÓN (mano de obra, energía, maquila)</t>
  </si>
  <si>
    <t xml:space="preserve">transf_maquila</t>
  </si>
  <si>
    <t xml:space="preserve">Cuota de maquila por pieza (mano de obra + planta del maquilador)</t>
  </si>
  <si>
    <t xml:space="preserve">ESTIMADO: cotizar con 2 fábricas de veladoras.</t>
  </si>
  <si>
    <t xml:space="preserve">salario_min</t>
  </si>
  <si>
    <t xml:space="preserve">Salario mínimo diario 2026 (zona general; Torreón)</t>
  </si>
  <si>
    <t xml:space="preserve">$ / día</t>
  </si>
  <si>
    <t xml:space="preserve">CONASAMI 2026 (fortia.com.mx).</t>
  </si>
  <si>
    <t xml:space="preserve">mult_salario</t>
  </si>
  <si>
    <t xml:space="preserve">Salario de operario vs mínimo</t>
  </si>
  <si>
    <t xml:space="preserve">carga_social</t>
  </si>
  <si>
    <t xml:space="preserve">Factor de carga social (IMSS, Infonavit, aguinaldo, vacaciones, ISN)</t>
  </si>
  <si>
    <t xml:space="preserve">Aproximación estándar.</t>
  </si>
  <si>
    <t xml:space="preserve">prod_n2</t>
  </si>
  <si>
    <t xml:space="preserve">Productividad planta propia nivel 2</t>
  </si>
  <si>
    <t xml:space="preserve">pzas / operario / día</t>
  </si>
  <si>
    <t xml:space="preserve">Incluye vaciado, curado, etiquetado y empaque.</t>
  </si>
  <si>
    <t xml:space="preserve">energia_pza</t>
  </si>
  <si>
    <t xml:space="preserve">Energía y gas por pieza</t>
  </si>
  <si>
    <t xml:space="preserve">Derretir ~0.4 kg de cera por pieza.</t>
  </si>
  <si>
    <t xml:space="preserve">consumibles_pza</t>
  </si>
  <si>
    <t xml:space="preserve">Consumibles y mantenimiento por pieza</t>
  </si>
  <si>
    <t xml:space="preserve">factor_transf_rep</t>
  </si>
  <si>
    <t xml:space="preserve">Transformación del repuesto vs vela con vaso</t>
  </si>
  <si>
    <t xml:space="preserve">Sin manejo de vidrio.</t>
  </si>
  <si>
    <t xml:space="preserve">mes_planta</t>
  </si>
  <si>
    <t xml:space="preserve">Mes en que arranca la planta propia (99 = siempre maquila)</t>
  </si>
  <si>
    <t xml:space="preserve">mes #</t>
  </si>
  <si>
    <t xml:space="preserve">Maquila en ambos: la planta propia solo conviene arriba de ~47 mil pzas/mes (ver Capex_Capacidad). Pon un mes # para probarla.</t>
  </si>
  <si>
    <t xml:space="preserve">renta</t>
  </si>
  <si>
    <t xml:space="preserve">Renta del taller (desde que arranca la planta)</t>
  </si>
  <si>
    <t xml:space="preserve">$ / mes</t>
  </si>
  <si>
    <t xml:space="preserve">ESTIMADO: nave chica en Torreón.</t>
  </si>
  <si>
    <t xml:space="preserve">8. CANAL DISTRIBUIDOR (1,000 tiendas)</t>
  </si>
  <si>
    <t xml:space="preserve">tiendas_universo</t>
  </si>
  <si>
    <t xml:space="preserve">Tiendas en la red del distribuidor</t>
  </si>
  <si>
    <t xml:space="preserve">tiendas</t>
  </si>
  <si>
    <t xml:space="preserve">Dato del distribuidor.</t>
  </si>
  <si>
    <t xml:space="preserve">tiendas_piloto</t>
  </si>
  <si>
    <t xml:space="preserve">Tiendas en el piloto</t>
  </si>
  <si>
    <t xml:space="preserve">meses_piloto</t>
  </si>
  <si>
    <t xml:space="preserve">Duración del piloto</t>
  </si>
  <si>
    <t xml:space="preserve">Guadalupe + Navidad.</t>
  </si>
  <si>
    <t xml:space="preserve">meses_rampa</t>
  </si>
  <si>
    <t xml:space="preserve">Meses para llegar a la meta de tiendas después del piloto</t>
  </si>
  <si>
    <t xml:space="preserve">crec_anual</t>
  </si>
  <si>
    <t xml:space="preserve">Crecimiento anual de piezas por tienda (desde el año 2)</t>
  </si>
  <si>
    <t xml:space="preserve">Más vasos en casa = más repuestos; marca conocida.</t>
  </si>
  <si>
    <t xml:space="preserve">carga_inicial</t>
  </si>
  <si>
    <t xml:space="preserve">Carga inicial por tienda nueva</t>
  </si>
  <si>
    <t xml:space="preserve">2 cajas de 12.</t>
  </si>
  <si>
    <t xml:space="preserve">pct_devol</t>
  </si>
  <si>
    <t xml:space="preserve">Venta garantizada: % de la carga inicial que se cambia</t>
  </si>
  <si>
    <t xml:space="preserve">Lo que no se vende en 60 días se cambia.</t>
  </si>
  <si>
    <t xml:space="preserve">perdida_devol</t>
  </si>
  <si>
    <t xml:space="preserve">Pérdida por pieza devuelta (% de su costo)</t>
  </si>
  <si>
    <t xml:space="preserve">Se recupera la cera; se pierde etiqueta y manejo.</t>
  </si>
  <si>
    <t xml:space="preserve">exhibidor</t>
  </si>
  <si>
    <t xml:space="preserve">Exhibidor por tienda nueva</t>
  </si>
  <si>
    <t xml:space="preserve">$ / tienda</t>
  </si>
  <si>
    <t xml:space="preserve">ESTIMADO: exhibidor de mostrador.</t>
  </si>
  <si>
    <t xml:space="preserve">pop</t>
  </si>
  <si>
    <t xml:space="preserve">Material de punto de venta por tienda nueva</t>
  </si>
  <si>
    <t xml:space="preserve">Cartel, stickers, tarjeta de garantía.</t>
  </si>
  <si>
    <t xml:space="preserve">mix_sem</t>
  </si>
  <si>
    <t xml:space="preserve">Mezcla normal: Semanal</t>
  </si>
  <si>
    <t xml:space="preserve">% piezas</t>
  </si>
  <si>
    <t xml:space="preserve">La suma de las 4 mezclas debe dar 100%.</t>
  </si>
  <si>
    <t xml:space="preserve">mix_rep</t>
  </si>
  <si>
    <t xml:space="preserve">Mezcla normal: Repuesto</t>
  </si>
  <si>
    <t xml:space="preserve">mix_tem</t>
  </si>
  <si>
    <t xml:space="preserve">Mezcla normal: Temporada</t>
  </si>
  <si>
    <t xml:space="preserve">mix_per</t>
  </si>
  <si>
    <t xml:space="preserve">Mezcla normal: Personalizada</t>
  </si>
  <si>
    <t xml:space="preserve">mix_alta_sem</t>
  </si>
  <si>
    <t xml:space="preserve">Mezcla temporada alta: Semanal</t>
  </si>
  <si>
    <t xml:space="preserve">Octubre, noviembre y diciembre.</t>
  </si>
  <si>
    <t xml:space="preserve">mix_alta_rep</t>
  </si>
  <si>
    <t xml:space="preserve">Mezcla temporada alta: Repuesto</t>
  </si>
  <si>
    <t xml:space="preserve">mix_alta_tem</t>
  </si>
  <si>
    <t xml:space="preserve">Mezcla temporada alta: Temporada</t>
  </si>
  <si>
    <t xml:space="preserve">mix_alta_per</t>
  </si>
  <si>
    <t xml:space="preserve">Mezcla temporada alta: Personalizada</t>
  </si>
  <si>
    <t xml:space="preserve">Control: suma de mezcla normal (debe ser 100%)</t>
  </si>
  <si>
    <t xml:space="preserve">Control: suma de mezcla temporada alta (debe ser 100%)</t>
  </si>
  <si>
    <t xml:space="preserve">9. CANALES DIRECTOS (sin tienda ni distribuidor)</t>
  </si>
  <si>
    <t xml:space="preserve">parroquias_total</t>
  </si>
  <si>
    <t xml:space="preserve">Parroquias en la Diócesis de Torreón</t>
  </si>
  <si>
    <t xml:space="preserve">parroquias</t>
  </si>
  <si>
    <t xml:space="preserve">Wikipedia (dato 2021).</t>
  </si>
  <si>
    <t xml:space="preserve">adop_parr</t>
  </si>
  <si>
    <t xml:space="preserve">Parroquias que adoptan el repuesto</t>
  </si>
  <si>
    <t xml:space="preserve">inicio_parr</t>
  </si>
  <si>
    <t xml:space="preserve">Mes de inicio parroquias</t>
  </si>
  <si>
    <t xml:space="preserve">rampa_parr</t>
  </si>
  <si>
    <t xml:space="preserve">Meses de rampa parroquias</t>
  </si>
  <si>
    <t xml:space="preserve">rep_sem_parr</t>
  </si>
  <si>
    <t xml:space="preserve">Repuestos por semana por parroquia</t>
  </si>
  <si>
    <t xml:space="preserve">Una lámpara encendida 24/7 = 1 vela de 7 días por semana.</t>
  </si>
  <si>
    <t xml:space="preserve">rest_meta</t>
  </si>
  <si>
    <t xml:space="preserve">Restaurantes y hoteles con contrato (meta)</t>
  </si>
  <si>
    <t xml:space="preserve">clientes</t>
  </si>
  <si>
    <t xml:space="preserve">inicio_rest</t>
  </si>
  <si>
    <t xml:space="preserve">Mes de inicio restaurantes</t>
  </si>
  <si>
    <t xml:space="preserve">rampa_rest</t>
  </si>
  <si>
    <t xml:space="preserve">Meses de rampa restaurantes</t>
  </si>
  <si>
    <t xml:space="preserve">mesas_rest</t>
  </si>
  <si>
    <t xml:space="preserve">Mesas con vela por restaurante</t>
  </si>
  <si>
    <t xml:space="preserve">mesas</t>
  </si>
  <si>
    <t xml:space="preserve">horas_noche</t>
  </si>
  <si>
    <t xml:space="preserve">Horas encendida por noche</t>
  </si>
  <si>
    <t xml:space="preserve">noches_mes</t>
  </si>
  <si>
    <t xml:space="preserve">Noches de servicio al mes</t>
  </si>
  <si>
    <t xml:space="preserve">noches</t>
  </si>
  <si>
    <t xml:space="preserve">inicio_recaud</t>
  </si>
  <si>
    <t xml:space="preserve">Mes de inicio recaudación (colegios y parroquias)</t>
  </si>
  <si>
    <t xml:space="preserve">campanas_normal</t>
  </si>
  <si>
    <t xml:space="preserve">Campañas de recaudación al mes (temporada normal)</t>
  </si>
  <si>
    <t xml:space="preserve">campañas</t>
  </si>
  <si>
    <t xml:space="preserve">Tu red de colegios.</t>
  </si>
  <si>
    <t xml:space="preserve">campanas_alta</t>
  </si>
  <si>
    <t xml:space="preserve">Campañas de recaudación al mes (temporada alta)</t>
  </si>
  <si>
    <t xml:space="preserve">Posadas, kermeses, Muertos.</t>
  </si>
  <si>
    <t xml:space="preserve">pzas_campana</t>
  </si>
  <si>
    <t xml:space="preserve">Piezas por campaña</t>
  </si>
  <si>
    <t xml:space="preserve">pedidos_corp</t>
  </si>
  <si>
    <t xml:space="preserve">Pedidos corporativos al mes (solo noviembre y diciembre)</t>
  </si>
  <si>
    <t xml:space="preserve">pedidos</t>
  </si>
  <si>
    <t xml:space="preserve">Cerrar antes del 15 de noviembre.</t>
  </si>
  <si>
    <t xml:space="preserve">pzas_pedido_corp</t>
  </si>
  <si>
    <t xml:space="preserve">Piezas por pedido corporativo</t>
  </si>
  <si>
    <t xml:space="preserve">inicio_prem</t>
  </si>
  <si>
    <t xml:space="preserve">Mes de inicio Vela Récord premium</t>
  </si>
  <si>
    <t xml:space="preserve">Requiere el vaso de doble pared.</t>
  </si>
  <si>
    <t xml:space="preserve">unid_prem</t>
  </si>
  <si>
    <t xml:space="preserve">Velas Récord vendidas al mes</t>
  </si>
  <si>
    <t xml:space="preserve">Se ajusta por estacionalidad.</t>
  </si>
  <si>
    <t xml:space="preserve">costo_prem</t>
  </si>
  <si>
    <t xml:space="preserve">Costo Vela Récord (500 g cera de abeja + vaso doble pared + copita + empaque)</t>
  </si>
  <si>
    <t xml:space="preserve">Cera de abeja ~$231/kg al menudeo (Mercería Alma). Vaso: ESTIMADO.</t>
  </si>
  <si>
    <t xml:space="preserve">unid_rec_prem</t>
  </si>
  <si>
    <t xml:space="preserve">Recargas Vela Récord al mes</t>
  </si>
  <si>
    <t xml:space="preserve">Arrancan 2 meses después de la vela.</t>
  </si>
  <si>
    <t xml:space="preserve">costo_rec_prem</t>
  </si>
  <si>
    <t xml:space="preserve">Costo recarga Vela Récord</t>
  </si>
  <si>
    <t xml:space="preserve">inicio_ins</t>
  </si>
  <si>
    <t xml:space="preserve">Mes de inicio insumos en línea</t>
  </si>
  <si>
    <t xml:space="preserve">rampa_ins</t>
  </si>
  <si>
    <t xml:space="preserve">Meses de rampa insumos en línea</t>
  </si>
  <si>
    <t xml:space="preserve">pedidos_ins_meta</t>
  </si>
  <si>
    <t xml:space="preserve">Pedidos de insumos al mes (meta)</t>
  </si>
  <si>
    <t xml:space="preserve">Hueco detectado: no hay mecha trenzada cuadrada bien especificada en MX.</t>
  </si>
  <si>
    <t xml:space="preserve">costo_ins_pct</t>
  </si>
  <si>
    <t xml:space="preserve">Costo del producto (% del ticket sin IVA)</t>
  </si>
  <si>
    <t xml:space="preserve">comision_mp</t>
  </si>
  <si>
    <t xml:space="preserve">Comisión del marketplace</t>
  </si>
  <si>
    <t xml:space="preserve">Mercado Libre cobra 13–20% según categoría.</t>
  </si>
  <si>
    <t xml:space="preserve">envio_ins</t>
  </si>
  <si>
    <t xml:space="preserve">Envío por pedido que absorbemos</t>
  </si>
  <si>
    <t xml:space="preserve">publicidad_ins</t>
  </si>
  <si>
    <t xml:space="preserve">Publicidad en marketplace (% de la venta)</t>
  </si>
  <si>
    <t xml:space="preserve">inicio_taller</t>
  </si>
  <si>
    <t xml:space="preserve">Mes de inicio talleres</t>
  </si>
  <si>
    <t xml:space="preserve">talleres_mes</t>
  </si>
  <si>
    <t xml:space="preserve">Talleres al mes</t>
  </si>
  <si>
    <t xml:space="preserve">talleres</t>
  </si>
  <si>
    <t xml:space="preserve">asist_taller</t>
  </si>
  <si>
    <t xml:space="preserve">Asistentes por taller</t>
  </si>
  <si>
    <t xml:space="preserve">personas</t>
  </si>
  <si>
    <t xml:space="preserve">costo_mat_taller</t>
  </si>
  <si>
    <t xml:space="preserve">Materiales por asistente (vaso, cera, mecha)</t>
  </si>
  <si>
    <t xml:space="preserve">costo_fijo_taller</t>
  </si>
  <si>
    <t xml:space="preserve">Espacio + instructora por taller</t>
  </si>
  <si>
    <t xml:space="preserve">$ / taller</t>
  </si>
  <si>
    <t xml:space="preserve">10. GASTOS VARIABLES</t>
  </si>
  <si>
    <t xml:space="preserve">pct_garantia</t>
  </si>
  <si>
    <t xml:space="preserve">Garantía '7 días o te damos otra': reclamos (% del costo del canal)</t>
  </si>
  <si>
    <t xml:space="preserve">pct_qr</t>
  </si>
  <si>
    <t xml:space="preserve">Clientes que escanean el QR de garantía</t>
  </si>
  <si>
    <t xml:space="preserve">% de piezas</t>
  </si>
  <si>
    <t xml:space="preserve">Base de datos propia de clientes.</t>
  </si>
  <si>
    <t xml:space="preserve">costo_registro</t>
  </si>
  <si>
    <t xml:space="preserve">Costo por registro (WhatsApp + CRM)</t>
  </si>
  <si>
    <t xml:space="preserve">$ / registro</t>
  </si>
  <si>
    <t xml:space="preserve">pct_marketing</t>
  </si>
  <si>
    <t xml:space="preserve">Marketing y contenido</t>
  </si>
  <si>
    <t xml:space="preserve">% de ingresos</t>
  </si>
  <si>
    <t xml:space="preserve">comision_directa</t>
  </si>
  <si>
    <t xml:space="preserve">Comisión de ventas en canales directos</t>
  </si>
  <si>
    <t xml:space="preserve">% de venta</t>
  </si>
  <si>
    <t xml:space="preserve">com_bancaria</t>
  </si>
  <si>
    <t xml:space="preserve">Comisión bancaria / terminal en cobros directos</t>
  </si>
  <si>
    <t xml:space="preserve">11. GASTOS FIJOS (mensuales, sueldo bruto antes de carga social)</t>
  </si>
  <si>
    <t xml:space="preserve">sueldo_dir</t>
  </si>
  <si>
    <t xml:space="preserve">Dirección y operación (socia 1)</t>
  </si>
  <si>
    <t xml:space="preserve">sueldo_com</t>
  </si>
  <si>
    <t xml:space="preserve">Comercial y cuentas clave (socia 2)</t>
  </si>
  <si>
    <t xml:space="preserve">sueldo_dis</t>
  </si>
  <si>
    <t xml:space="preserve">Diseño y contenido</t>
  </si>
  <si>
    <t xml:space="preserve">sueldo_aten</t>
  </si>
  <si>
    <t xml:space="preserve">Atención WhatsApp y personalizadas</t>
  </si>
  <si>
    <t xml:space="preserve">mes_atencion</t>
  </si>
  <si>
    <t xml:space="preserve">Mes en que entra atención WhatsApp</t>
  </si>
  <si>
    <t xml:space="preserve">sueldo_sup</t>
  </si>
  <si>
    <t xml:space="preserve">Supervisor de producción (solo planta propia)</t>
  </si>
  <si>
    <t xml:space="preserve">contador</t>
  </si>
  <si>
    <t xml:space="preserve">Contador externo</t>
  </si>
  <si>
    <t xml:space="preserve">servicios</t>
  </si>
  <si>
    <t xml:space="preserve">Servicios (luz base, agua, internet, teléfono)</t>
  </si>
  <si>
    <t xml:space="preserve">software</t>
  </si>
  <si>
    <t xml:space="preserve">Software (CRM, WhatsApp, diseño)</t>
  </si>
  <si>
    <t xml:space="preserve">seguros</t>
  </si>
  <si>
    <t xml:space="preserve">Seguros y Protección Civil</t>
  </si>
  <si>
    <t xml:space="preserve">pruebas</t>
  </si>
  <si>
    <t xml:space="preserve">Pruebas de calidad y encendido</t>
  </si>
  <si>
    <t xml:space="preserve">viaticos</t>
  </si>
  <si>
    <t xml:space="preserve">Viáticos y varios</t>
  </si>
  <si>
    <t xml:space="preserve">12. GASTOS DE ARRANQUE (una sola vez, mes 1)</t>
  </si>
  <si>
    <t xml:space="preserve">arr_marca</t>
  </si>
  <si>
    <t xml:space="preserve">Marca, identidad y diseño de empaque</t>
  </si>
  <si>
    <t xml:space="preserve">$</t>
  </si>
  <si>
    <t xml:space="preserve">arr_legal</t>
  </si>
  <si>
    <t xml:space="preserve">Legal: IMPI, NOM-050, contrato con distribuidor, acuerdo de socios</t>
  </si>
  <si>
    <t xml:space="preserve">arr_fotos</t>
  </si>
  <si>
    <t xml:space="preserve">Fotos, video y timelapse de lanzamiento</t>
  </si>
  <si>
    <t xml:space="preserve">arr_proto</t>
  </si>
  <si>
    <t xml:space="preserve">Prototipos, pruebas de encendido y competencia</t>
  </si>
  <si>
    <t xml:space="preserve">13. DEPRECIACIÓN Y CAPITAL DE TRABAJO</t>
  </si>
  <si>
    <t xml:space="preserve">dep_n1</t>
  </si>
  <si>
    <t xml:space="preserve">Vida útil equipo nivel 1</t>
  </si>
  <si>
    <t xml:space="preserve">años</t>
  </si>
  <si>
    <t xml:space="preserve">dep_n2</t>
  </si>
  <si>
    <t xml:space="preserve">Vida útil equipo nivel 2</t>
  </si>
  <si>
    <t xml:space="preserve">dias_cobro_dist</t>
  </si>
  <si>
    <t xml:space="preserve">Días de cobro al distribuidor</t>
  </si>
  <si>
    <t xml:space="preserve">Negociar pronto pago.</t>
  </si>
  <si>
    <t xml:space="preserve">dias_cobro_dir</t>
  </si>
  <si>
    <t xml:space="preserve">Días de cobro canales directos</t>
  </si>
  <si>
    <t xml:space="preserve">dias_inv</t>
  </si>
  <si>
    <t xml:space="preserve">Días de inventario</t>
  </si>
  <si>
    <t xml:space="preserve">dias_pago</t>
  </si>
  <si>
    <t xml:space="preserve">Días de pago a proveedores</t>
  </si>
  <si>
    <t xml:space="preserve">caja_minima</t>
  </si>
  <si>
    <t xml:space="preserve">Caja mínima operativa</t>
  </si>
  <si>
    <t xml:space="preserve">14. CONSUMIDOR</t>
  </si>
  <si>
    <t xml:space="preserve">veladoras_sem_cliente</t>
  </si>
  <si>
    <t xml:space="preserve">Veladoras por semana de un cliente devoto</t>
  </si>
  <si>
    <t xml:space="preserve">Para calcular ahorro y valor de vida del cliente.</t>
  </si>
  <si>
    <t xml:space="preserve">15. ESCENARIOS DE VOLUMEN (canal distribuidor)</t>
  </si>
  <si>
    <t xml:space="preserve">Conservador</t>
  </si>
  <si>
    <t xml:space="preserve">Medio</t>
  </si>
  <si>
    <t xml:space="preserve">Alto</t>
  </si>
  <si>
    <t xml:space="preserve">tiendas_meta</t>
  </si>
  <si>
    <t xml:space="preserve">Tiendas activas meta</t>
  </si>
  <si>
    <t xml:space="preserve">uds_sem</t>
  </si>
  <si>
    <t xml:space="preserve">Piezas vendidas por tienda por semana</t>
  </si>
  <si>
    <t xml:space="preserve">16. ESTACIONALIDAD (índice por mes calendario)</t>
  </si>
  <si>
    <t xml:space="preserve">Mes</t>
  </si>
  <si>
    <t xml:space="preserve">Nombre</t>
  </si>
  <si>
    <t xml:space="preserve">Índice</t>
  </si>
  <si>
    <t xml:space="preserve">Temporada alta (1/0)</t>
  </si>
  <si>
    <t xml:space="preserve">Índice normalizado</t>
  </si>
  <si>
    <t xml:space="preserve">Nota</t>
  </si>
  <si>
    <t xml:space="preserve">Enero</t>
  </si>
  <si>
    <t xml:space="preserve">Febrero</t>
  </si>
  <si>
    <t xml:space="preserve">San Valentín</t>
  </si>
  <si>
    <t xml:space="preserve">Marzo</t>
  </si>
  <si>
    <t xml:space="preserve">Abril</t>
  </si>
  <si>
    <t xml:space="preserve">Semana Santa</t>
  </si>
  <si>
    <t xml:space="preserve">Mayo</t>
  </si>
  <si>
    <t xml:space="preserve">10 de 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</si>
  <si>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</si>
  <si>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</si>
  <si>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</si>
  <si>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</si>
  <si>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</si>
  <si>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San Judas (28) + inicio Muertos</t>
  </si>
  <si>
    <t xml:space="preserve">Noviembre</t>
  </si>
  <si>
    <t xml:space="preserve">Día de Muertos</t>
  </si>
  <si>
    <t xml:space="preserve">Diciembre</t>
  </si>
  <si>
    <t xml:space="preserve">Guadalupe (12) + Navidad</t>
  </si>
  <si>
    <t xml:space="preserve">Peso de octubre + noviembre en el año</t>
  </si>
  <si>
    <t xml:space="preserve">Solunion: 25–35% de las ventas anuales de velas se concentran en temporada de Muertos.</t>
  </si>
  <si>
    <t xml:space="preserve">17. CARTUCHO RETORNABLE (el repuesto que regresa a la tienda)</t>
  </si>
  <si>
    <t xml:space="preserve">sel_rep</t>
  </si>
  <si>
    <t xml:space="preserve">FORMATO DEL REPUESTO (1 = con funda, como en la versión 1 · 2 = cartucho retornable)</t>
  </si>
  <si>
    <t xml:space="preserve">Con 2, el costeo cambia la funda por el costo neto del cartucho (hoja Cartucho) y todo el modelo se recalcula.</t>
  </si>
  <si>
    <t xml:space="preserve">cart_costo</t>
  </si>
  <si>
    <t xml:space="preserve">Costo de un cartucho de aluminio nuevo</t>
  </si>
  <si>
    <t xml:space="preserve">ESTIMADO: cotizar por millar con un proveedor de estampado o troquel.</t>
  </si>
  <si>
    <t xml:space="preserve">cart_vueltas</t>
  </si>
  <si>
    <t xml:space="preserve">Vueltas que aguanta un cartucho antes de reciclarse</t>
  </si>
  <si>
    <t xml:space="preserve">vueltas</t>
  </si>
  <si>
    <t xml:space="preserve">ESTIMADO: medir en prototipo cuántas veces se rellena sin deformarse.</t>
  </si>
  <si>
    <t xml:space="preserve">cart_retorno</t>
  </si>
  <si>
    <t xml:space="preserve">Cartuchos que el cliente regresa a la tienda</t>
  </si>
  <si>
    <t xml:space="preserve">ESTIMADO: medir en el piloto de 50 tiendas. Es el supuesto que más pesa.</t>
  </si>
  <si>
    <t xml:space="preserve">cart_deposito</t>
  </si>
  <si>
    <t xml:space="preserve">Depósito que paga el cliente por cartucho (con IVA)</t>
  </si>
  <si>
    <t xml:space="preserve">Como el envase de refresco retornable. Se descuenta al regresar el vacío.</t>
  </si>
  <si>
    <t xml:space="preserve">cart_reproceso</t>
  </si>
  <si>
    <t xml:space="preserve">Reproceso por vuelta (calentar, sacar el cabo, revisar)</t>
  </si>
  <si>
    <t xml:space="preserve">ESTIMADO. No se lava: el residuo se integra a la cera nueva.</t>
  </si>
  <si>
    <t xml:space="preserve">cart_log_inv</t>
  </si>
  <si>
    <t xml:space="preserve">Logística inversa por cartucho (caja de 24 en la ruta)</t>
  </si>
  <si>
    <t xml:space="preserve">ESTIMADO. Regresa en la misma visita semanal del distribuidor.</t>
  </si>
  <si>
    <t xml:space="preserve">cart_ciclo</t>
  </si>
  <si>
    <t xml:space="preserve">Semanas que tarda un cartucho en dar la vuelta completa</t>
  </si>
  <si>
    <t xml:space="preserve">Casa (1) + tienda + ruta + planta. Define cuántos cartuchos hay en circulación.</t>
  </si>
  <si>
    <t xml:space="preserve">Costeo unitario por producto (escenario activo)</t>
  </si>
  <si>
    <t xml:space="preserve">Todo sale de Supuestos. Costos sin IVA. 'Costo en régimen' = el que aplica una vez que arranca la planta propia (si el escenario la incluye).</t>
  </si>
  <si>
    <t xml:space="preserve">Corporativa</t>
  </si>
  <si>
    <t xml:space="preserve">Horas garantizadas</t>
  </si>
  <si>
    <t xml:space="preserve">Consumo de cera</t>
  </si>
  <si>
    <t xml:space="preserve">Cera residual sin quemar</t>
  </si>
  <si>
    <t xml:space="preserve">g</t>
  </si>
  <si>
    <t xml:space="preserve">Precio de parafina puesta en planta</t>
  </si>
  <si>
    <t xml:space="preserve">$ / kg</t>
  </si>
  <si>
    <t xml:space="preserve">Cera</t>
  </si>
  <si>
    <t xml:space="preserve">Vaso</t>
  </si>
  <si>
    <t xml:space="preserve">Mecha + base metálica</t>
  </si>
  <si>
    <t xml:space="preserve">Etiqueta / manga estándar</t>
  </si>
  <si>
    <t xml:space="preserve">Extra impresión + atención personalizada</t>
  </si>
  <si>
    <t xml:space="preserve">Caja de regalo + logo</t>
  </si>
  <si>
    <t xml:space="preserve">Funda del repuesto o cartucho retornable</t>
  </si>
  <si>
    <t xml:space="preserve">Supuestos D184: 1 = funda (versión 1) · 2 = cartucho retornable, en todas las piezas (ver hoja Cartucho).</t>
  </si>
  <si>
    <t xml:space="preserve">Caja master prorrateada</t>
  </si>
  <si>
    <t xml:space="preserve">Flete planta → bodega del distribuidor</t>
  </si>
  <si>
    <t xml:space="preserve">Subtotal materiales y logística</t>
  </si>
  <si>
    <t xml:space="preserve">Merma</t>
  </si>
  <si>
    <t xml:space="preserve">MATERIALES CON MERMA</t>
  </si>
  <si>
    <t xml:space="preserve">Factor de transformación</t>
  </si>
  <si>
    <t xml:space="preserve">Transformación con maquila</t>
  </si>
  <si>
    <t xml:space="preserve">Transformación con planta propia</t>
  </si>
  <si>
    <t xml:space="preserve">Costo total con maquila</t>
  </si>
  <si>
    <t xml:space="preserve">Costo total con planta propia</t>
  </si>
  <si>
    <t xml:space="preserve">COSTO EN RÉGIMEN (el que usa la cascada)</t>
  </si>
  <si>
    <t xml:space="preserve">Con planta propia si el escenario la incluye; si no, maquila.</t>
  </si>
  <si>
    <t xml:space="preserve">INDICADORES PARA EL CONSUMIDOR Y DE EFICIENCIA</t>
  </si>
  <si>
    <t xml:space="preserve">Precio al público (con IVA)</t>
  </si>
  <si>
    <t xml:space="preserve">Costo por hora de luz para el consumidor</t>
  </si>
  <si>
    <t xml:space="preserve">$ / hora</t>
  </si>
  <si>
    <t xml:space="preserve">Vidrio como % del costo</t>
  </si>
  <si>
    <t xml:space="preserve">Cera como % del costo</t>
  </si>
  <si>
    <t xml:space="preserve">Kilos de cera por cada 1,000 piezas</t>
  </si>
  <si>
    <t xml:space="preserve">kg</t>
  </si>
  <si>
    <t xml:space="preserve">El cartucho retornable</t>
  </si>
  <si>
    <t xml:space="preserve">El repuesto es una copa de aluminio con la cera y la mecha ya puestas. Regresa vacío a la tienda, se rellena y vuelve a salir. Los datos vienen de Supuestos, sección 17.</t>
  </si>
  <si>
    <t xml:space="preserve">EL CICLO</t>
  </si>
  <si>
    <t xml:space="preserve">1. El cliente mete el cartucho completo al vaso y lo prende. La cera arde dentro del aluminio; el vaso no se ensucia.</t>
  </si>
  <si>
    <t xml:space="preserve">2. Cuando se acaba, regresa el cartucho vacío a la misma tienda y le descuentan el depósito en el siguiente.</t>
  </si>
  <si>
    <t xml:space="preserve">3. La tienda junta los vacíos en una caja de 24. La ruta del distribuidor se los lleva en su visita de siempre.</t>
  </si>
  <si>
    <t xml:space="preserve">4. En planta no se lava: se calienta, se saca el cabo, se pone mecha nueva y se rellena. El residuo se integra a la cera nueva.</t>
  </si>
  <si>
    <t xml:space="preserve">5. Cuando un cartucho ya no sirve, el aluminio se recicla.</t>
  </si>
  <si>
    <t xml:space="preserve">CUÁNTO CUESTA CADA LLENADO</t>
  </si>
  <si>
    <t xml:space="preserve">Cómo se calcula</t>
  </si>
  <si>
    <t xml:space="preserve">Costo de un cartucho nuevo</t>
  </si>
  <si>
    <t xml:space="preserve">Supuestos.</t>
  </si>
  <si>
    <t xml:space="preserve">Cartuchos que regresan</t>
  </si>
  <si>
    <t xml:space="preserve">Supuestos. De cada 100 cartuchos vendidos, cuántos vuelven a la tienda.</t>
  </si>
  <si>
    <t xml:space="preserve">Vueltas máximas por cartucho</t>
  </si>
  <si>
    <t xml:space="preserve">Llenados que da un cartucho en su vida</t>
  </si>
  <si>
    <t xml:space="preserve">llenados</t>
  </si>
  <si>
    <t xml:space="preserve">En cada vuelta se pierde el que no regresa. Con 80% de retorno y 12 vueltas, un cartucho se llena 4.7 veces en promedio.</t>
  </si>
  <si>
    <t xml:space="preserve">Aluminio por llenado</t>
  </si>
  <si>
    <t xml:space="preserve">$ / llenado</t>
  </si>
  <si>
    <t xml:space="preserve">Costo del cartucho repartido entre sus llenados.</t>
  </si>
  <si>
    <t xml:space="preserve">Reproceso y logística inversa por llenado</t>
  </si>
  <si>
    <t xml:space="preserve">Solo aplica a los que regresan.</t>
  </si>
  <si>
    <t xml:space="preserve">Depósito que nadie reclama, sin IVA</t>
  </si>
  <si>
    <t xml:space="preserve">El cliente que no regresa el cartucho deja su depósito. Supone que ese depósito llega hasta nosotros: VALIDAR con el distribuidor.</t>
  </si>
  <si>
    <t xml:space="preserve">COSTO NETO DEL CARTUCHO POR LLENADO</t>
  </si>
  <si>
    <t xml:space="preserve">Aluminio + reproceso − depósitos no reclamados. Es lo que entra al costeo cuando el selector está en 2.</t>
  </si>
  <si>
    <t xml:space="preserve">Costo sin contar los depósitos (lectura conservadora)</t>
  </si>
  <si>
    <t xml:space="preserve">Si el depósito no reclamado se queda en la tienda o en el distribuidor.</t>
  </si>
  <si>
    <t xml:space="preserve">Funda del repuesto (versión 1)</t>
  </si>
  <si>
    <t xml:space="preserve">Lo que hoy usa el modelo con el selector en 1.</t>
  </si>
  <si>
    <t xml:space="preserve">Ahorro por repuesto contra la funda</t>
  </si>
  <si>
    <t xml:space="preserve">Positivo = el cartucho retornable sale más barato que la funda.</t>
  </si>
  <si>
    <t xml:space="preserve">QUÉ CAMBIA EN UN AÑO (año 2 del escenario activo)</t>
  </si>
  <si>
    <t xml:space="preserve">Velas con vaso al año</t>
  </si>
  <si>
    <t xml:space="preserve">Cada una sale con su primer cartucho.</t>
  </si>
  <si>
    <t xml:space="preserve">Repuestos al año</t>
  </si>
  <si>
    <t xml:space="preserve">Cada uno es un llenado.</t>
  </si>
  <si>
    <t xml:space="preserve">Llenados al año</t>
  </si>
  <si>
    <t xml:space="preserve">Cartuchos nuevos que hay que comprar al año</t>
  </si>
  <si>
    <t xml:space="preserve">Llenados ÷ llenados por cartucho.</t>
  </si>
  <si>
    <t xml:space="preserve">Compra anual de cartuchos</t>
  </si>
  <si>
    <t xml:space="preserve">Reproceso y logística inversa al año</t>
  </si>
  <si>
    <t xml:space="preserve">Depósitos no reclamados al año, sin IVA</t>
  </si>
  <si>
    <t xml:space="preserve">Ingreso que compensa los cartuchos perdidos.</t>
  </si>
  <si>
    <t xml:space="preserve">Costo neto anual del sistema de cartucho</t>
  </si>
  <si>
    <t xml:space="preserve">Costo anual de las fundas (versión 1)</t>
  </si>
  <si>
    <t xml:space="preserve">Solo los repuestos llevan funda.</t>
  </si>
  <si>
    <t xml:space="preserve">DIFERENCIA AL AÑO: CARTUCHO RETORNABLE CONTRA FUNDA</t>
  </si>
  <si>
    <t xml:space="preserve">Positivo = el cartucho deja más dinero. No incluye la merma (1.5%) ni el vidrio que se ahorra en ruta.</t>
  </si>
  <si>
    <t xml:space="preserve">CARTUCHOS EN CIRCULACIÓN (año 2)</t>
  </si>
  <si>
    <t xml:space="preserve">Llenados al mes</t>
  </si>
  <si>
    <t xml:space="preserve">Semanas que tarda la vuelta completa</t>
  </si>
  <si>
    <t xml:space="preserve">Cartuchos en circulación</t>
  </si>
  <si>
    <t xml:space="preserve">Los que hay en casas, tiendas, ruta y planta al mismo tiempo.</t>
  </si>
  <si>
    <t xml:space="preserve">Inversión en la flotilla de cartuchos</t>
  </si>
  <si>
    <t xml:space="preserve">Se compra una vez, al arrancar. No está en la hoja Flujo.</t>
  </si>
  <si>
    <t xml:space="preserve">Depósitos cobrados por los cartuchos en circulación</t>
  </si>
  <si>
    <t xml:space="preserve">Es dinero del cliente: se le debe hasta que regrese el cartucho.</t>
  </si>
  <si>
    <t xml:space="preserve">Cartuchos que se dan de baja al año</t>
  </si>
  <si>
    <t xml:space="preserve">Perdidos o reciclados; son los que se reponen.</t>
  </si>
  <si>
    <t xml:space="preserve">LO QUE HAY QUE VALIDAR</t>
  </si>
  <si>
    <t xml:space="preserve">· Cuántas vueltas aguanta un cartucho antes de deformarse (prototipo).</t>
  </si>
  <si>
    <t xml:space="preserve">· Qué porcentaje de los clientes regresa el cartucho, por tienda (piloto de 50 tiendas, 4 semanas).</t>
  </si>
  <si>
    <t xml:space="preserve">· El costo del cartucho por millar (troquel) y el costo de reproceso por vuelta.</t>
  </si>
  <si>
    <t xml:space="preserve">· La mecha calibrada para el diámetro del cartucho (~5.8 cm).</t>
  </si>
  <si>
    <t xml:space="preserve">· Quién se queda con el depósito no reclamado: la tienda, el distribuidor o nosotros.</t>
  </si>
  <si>
    <t xml:space="preserve">· Que el borde de aluminio se vea bien dentro del vaso.</t>
  </si>
  <si>
    <t xml:space="preserve">Cascada de precios: quién gana qué en cada pieza (escenario activo)</t>
  </si>
  <si>
    <t xml:space="preserve">Márgenes de tienda y distribuidor calculados sobre precio con IVA, como se negocia en la calle. Nuestro ingreso es sin IVA.</t>
  </si>
  <si>
    <t xml:space="preserve">Precio al público sin IVA</t>
  </si>
  <si>
    <t xml:space="preserve">IVA total en el precio al público</t>
  </si>
  <si>
    <t xml:space="preserve">La tienda compra a (con IVA)</t>
  </si>
  <si>
    <t xml:space="preserve">LA TIENDA GANA por pieza</t>
  </si>
  <si>
    <t xml:space="preserve">El distribuidor compra a (con IVA)</t>
  </si>
  <si>
    <t xml:space="preserve">EL DISTRIBUIDOR GANA por pieza</t>
  </si>
  <si>
    <t xml:space="preserve">Nuestro precio neto (sin IVA)</t>
  </si>
  <si>
    <t xml:space="preserve">Nuestro costo en régimen</t>
  </si>
  <si>
    <t xml:space="preserve">NOSOTROS GANAMOS por pieza (utilidad bruta)</t>
  </si>
  <si>
    <t xml:space="preserve">Nuestro margen bruto</t>
  </si>
  <si>
    <t xml:space="preserve">¿A DÓNDE SE VA CADA PESO QUE PAGA EL CLIENTE?</t>
  </si>
  <si>
    <t xml:space="preserve">Tienda</t>
  </si>
  <si>
    <t xml:space="preserve">IVA de nuestra factura (SAT)</t>
  </si>
  <si>
    <t xml:space="preserve">Costo de producir</t>
  </si>
  <si>
    <t xml:space="preserve">Nuestra utilidad</t>
  </si>
  <si>
    <t xml:space="preserve">Total (control = 100%)</t>
  </si>
  <si>
    <t xml:space="preserve">PROMEDIOS PONDERADOS POR LA MEZCLA (por pieza vendida al distribuidor)</t>
  </si>
  <si>
    <t xml:space="preserve">Mezcla temporada normal</t>
  </si>
  <si>
    <t xml:space="preserve">Mezcla temporada alta</t>
  </si>
  <si>
    <t xml:space="preserve">Nuestra utilidad ponderada por pieza (normal)</t>
  </si>
  <si>
    <t xml:space="preserve">Nuestra utilidad ponderada por pieza (temporada alta)</t>
  </si>
  <si>
    <t xml:space="preserve">Precio al público ponderado (normal)</t>
  </si>
  <si>
    <t xml:space="preserve">La tienda gana ponderado por pieza (normal)</t>
  </si>
  <si>
    <t xml:space="preserve">El distribuidor gana ponderado por pieza (normal)</t>
  </si>
  <si>
    <t xml:space="preserve">Nuestro ingreso neto ponderado por pieza (normal)</t>
  </si>
  <si>
    <t xml:space="preserve">Nuestro costo ponderado por pieza (normal)</t>
  </si>
  <si>
    <t xml:space="preserve">CANALES DIRECTOS: ECONOMÍA POR UNIDAD</t>
  </si>
  <si>
    <t xml:space="preserve">Canal</t>
  </si>
  <si>
    <t xml:space="preserve">Precio con IVA</t>
  </si>
  <si>
    <t xml:space="preserve">Neto sin IVA</t>
  </si>
  <si>
    <t xml:space="preserve">Costo</t>
  </si>
  <si>
    <t xml:space="preserve">Utilidad por unidad</t>
  </si>
  <si>
    <t xml:space="preserve">Margen</t>
  </si>
  <si>
    <t xml:space="preserve">Parroquias (repuesto directo)</t>
  </si>
  <si>
    <t xml:space="preserve">pieza</t>
  </si>
  <si>
    <t xml:space="preserve">Restaurantes y hoteles (repuesto directo)</t>
  </si>
  <si>
    <t xml:space="preserve">Recaudación con colegios y parroquias (semanal)</t>
  </si>
  <si>
    <t xml:space="preserve">Regalo corporativo con logo</t>
  </si>
  <si>
    <t xml:space="preserve">Vela Récord premium</t>
  </si>
  <si>
    <t xml:space="preserve">Insumos en línea (después de comisión, envío y publicidad)</t>
  </si>
  <si>
    <t xml:space="preserve">pedido</t>
  </si>
  <si>
    <t xml:space="preserve">Taller de velas</t>
  </si>
  <si>
    <t xml:space="preserve">persona</t>
  </si>
  <si>
    <t xml:space="preserve">LO QUE PLATICAMOS (BASE) VS OPTIMIZADO · cálculo independiente del selector</t>
  </si>
  <si>
    <t xml:space="preserve">Precio de parafina puesta en planta ($/kg)</t>
  </si>
  <si>
    <t xml:space="preserve">Costo de cera por pieza</t>
  </si>
  <si>
    <t xml:space="preserve">Flete por pieza con vaso</t>
  </si>
  <si>
    <t xml:space="preserve">Flete por repuesto</t>
  </si>
  <si>
    <t xml:space="preserve">Subtotal materiales Semanal (antes de merma)</t>
  </si>
  <si>
    <t xml:space="preserve">Subtotal materiales Repuesto (antes de merma)</t>
  </si>
  <si>
    <t xml:space="preserve">Transformación planta propia por pieza</t>
  </si>
  <si>
    <t xml:space="preserve">Transformación en régimen (maquila o propia)</t>
  </si>
  <si>
    <t xml:space="preserve">Base = maquila (mes_planta 99).</t>
  </si>
  <si>
    <t xml:space="preserve">Costo Semanal</t>
  </si>
  <si>
    <t xml:space="preserve">Costo Repuesto</t>
  </si>
  <si>
    <t xml:space="preserve">Costo Temporada</t>
  </si>
  <si>
    <t xml:space="preserve">Costo Personalizada</t>
  </si>
  <si>
    <t xml:space="preserve">De cada peso con IVA, nos llega (sin IVA)</t>
  </si>
  <si>
    <t xml:space="preserve">Utilidad por Temporada</t>
  </si>
  <si>
    <t xml:space="preserve">Utilidad por Personalizada</t>
  </si>
  <si>
    <t xml:space="preserve">UTILIDAD PONDERADA POR PIEZA (mezcla normal)</t>
  </si>
  <si>
    <t xml:space="preserve">Control: costo Semanal del escenario activo = Costeo (debe ser 0)</t>
  </si>
  <si>
    <t xml:space="preserve">Volumen mensual (36 meses, escenario activo)</t>
  </si>
  <si>
    <t xml:space="preserve">Piezas facturadas al distribuidor = venta a consumidor (sell-through) + carga inicial de cada tienda nueva.</t>
  </si>
  <si>
    <t xml:space="preserve">Mes #</t>
  </si>
  <si>
    <t xml:space="preserve">Fecha</t>
  </si>
  <si>
    <t xml:space="preserve">Mes calendario</t>
  </si>
  <si>
    <t xml:space="preserve">Año del modelo</t>
  </si>
  <si>
    <t xml:space="preserve">Índice estacional</t>
  </si>
  <si>
    <t xml:space="preserve">Temporada alta</t>
  </si>
  <si>
    <t xml:space="preserve">1/0</t>
  </si>
  <si>
    <t xml:space="preserve">CANAL DISTRIBUIDOR</t>
  </si>
  <si>
    <t xml:space="preserve">Tiendas activas</t>
  </si>
  <si>
    <t xml:space="preserve">Tiendas nuevas en el mes</t>
  </si>
  <si>
    <t xml:space="preserve">Piezas por tienda por semana</t>
  </si>
  <si>
    <t xml:space="preserve">Venta al consumidor (sell-through)</t>
  </si>
  <si>
    <t xml:space="preserve">Carga inicial de tiendas nuevas</t>
  </si>
  <si>
    <t xml:space="preserve">PIEZAS FACTURADAS AL DISTRIBUIDOR</t>
  </si>
  <si>
    <t xml:space="preserve">Mezcla Semanal</t>
  </si>
  <si>
    <t xml:space="preserve">Mezcla Repuesto</t>
  </si>
  <si>
    <t xml:space="preserve">Mezcla Temporada</t>
  </si>
  <si>
    <t xml:space="preserve">Mezcla Personalizada</t>
  </si>
  <si>
    <t xml:space="preserve">Piezas Semanal</t>
  </si>
  <si>
    <t xml:space="preserve">Piezas Repuesto</t>
  </si>
  <si>
    <t xml:space="preserve">Piezas Temporada</t>
  </si>
  <si>
    <t xml:space="preserve">Piezas Personalizada</t>
  </si>
  <si>
    <t xml:space="preserve">Devoluciones por venta garantizada</t>
  </si>
  <si>
    <t xml:space="preserve">CANALES DIRECTOS</t>
  </si>
  <si>
    <t xml:space="preserve">Parroquias activas</t>
  </si>
  <si>
    <t xml:space="preserve">Repuestos a parroquias</t>
  </si>
  <si>
    <t xml:space="preserve">Restaurantes y hoteles activos</t>
  </si>
  <si>
    <t xml:space="preserve">Repuestos a restaurantes y hoteles</t>
  </si>
  <si>
    <t xml:space="preserve">Campañas de recaudación</t>
  </si>
  <si>
    <t xml:space="preserve">Piezas de recaudación</t>
  </si>
  <si>
    <t xml:space="preserve">Pedidos corporativos (noviembre y diciembre)</t>
  </si>
  <si>
    <t xml:space="preserve">Piezas corporativas</t>
  </si>
  <si>
    <t xml:space="preserve">Velas Récord premium</t>
  </si>
  <si>
    <t xml:space="preserve">Recargas Vela Récord</t>
  </si>
  <si>
    <t xml:space="preserve">Pedidos de insumos en línea</t>
  </si>
  <si>
    <t xml:space="preserve">Talleres</t>
  </si>
  <si>
    <t xml:space="preserve">Asistentes a talleres</t>
  </si>
  <si>
    <t xml:space="preserve">TOTALES DE PRODUCCIÓN</t>
  </si>
  <si>
    <t xml:space="preserve">VELAS A PRODUCIR (parafina, todos los canales)</t>
  </si>
  <si>
    <t xml:space="preserve">Velas por día hábil</t>
  </si>
  <si>
    <t xml:space="preserve">Velas con vaso (compra de vidrio)</t>
  </si>
  <si>
    <t xml:space="preserve">Repuestos (sin vaso)</t>
  </si>
  <si>
    <t xml:space="preserve">Kilos de parafina a comprar</t>
  </si>
  <si>
    <t xml:space="preserve">Estado de resultados mensual (MXN, sin IVA)</t>
  </si>
  <si>
    <t xml:space="preserve">ISR y PTU con pérdidas acumuladas (aproximación). Columnas AM–AO = totales por año del modelo.</t>
  </si>
  <si>
    <t xml:space="preserve">INGRESOS NETOS (sin IVA)</t>
  </si>
  <si>
    <t xml:space="preserve">Distribuidor · Semanal</t>
  </si>
  <si>
    <t xml:space="preserve">Distribuidor · Repuesto</t>
  </si>
  <si>
    <t xml:space="preserve">Distribuidor · Temporada</t>
  </si>
  <si>
    <t xml:space="preserve">Distribuidor · Personalizada</t>
  </si>
  <si>
    <t xml:space="preserve">Parroquias</t>
  </si>
  <si>
    <t xml:space="preserve">Restaurantes y hoteles</t>
  </si>
  <si>
    <t xml:space="preserve">Recaudación con colegios y parroquias</t>
  </si>
  <si>
    <t xml:space="preserve">Regalos corporativos</t>
  </si>
  <si>
    <t xml:space="preserve">Insumos en línea</t>
  </si>
  <si>
    <t xml:space="preserve">TOTAL INGRESOS</t>
  </si>
  <si>
    <t xml:space="preserve">COSTO DE VENTAS</t>
  </si>
  <si>
    <t xml:space="preserve">Materiales canal distribuidor</t>
  </si>
  <si>
    <t xml:space="preserve">Transformación canal distribuidor (maquila o planta)</t>
  </si>
  <si>
    <t xml:space="preserve">Parroquias y restaurantes (repuesto)</t>
  </si>
  <si>
    <t xml:space="preserve">Recaudación (semanal)</t>
  </si>
  <si>
    <t xml:space="preserve">Vela Récord y recargas</t>
  </si>
  <si>
    <t xml:space="preserve">Insumos en línea (costo del producto)</t>
  </si>
  <si>
    <t xml:space="preserve">Talleres (materiales + espacio e instructora)</t>
  </si>
  <si>
    <t xml:space="preserve">TOTAL COSTO DE VENTAS</t>
  </si>
  <si>
    <t xml:space="preserve">UTILIDAD BRUTA</t>
  </si>
  <si>
    <t xml:space="preserve">GASTOS VARIABLES</t>
  </si>
  <si>
    <t xml:space="preserve">Comisión de marketplace + publicidad (insumos)</t>
  </si>
  <si>
    <t xml:space="preserve">Envíos de pedidos en línea</t>
  </si>
  <si>
    <t xml:space="preserve">Garantía '7 días o te damos otra'</t>
  </si>
  <si>
    <t xml:space="preserve">Venta garantizada (devoluciones de carga inicial)</t>
  </si>
  <si>
    <t xml:space="preserve">Registro de clientes por QR / WhatsApp</t>
  </si>
  <si>
    <t xml:space="preserve">Exhibidores y material POP en tiendas nuevas</t>
  </si>
  <si>
    <t xml:space="preserve">Comisiones bancarias en cobros directos</t>
  </si>
  <si>
    <t xml:space="preserve">TOTAL GASTOS VARIABLES</t>
  </si>
  <si>
    <t xml:space="preserve">CONTRIBUCIÓN</t>
  </si>
  <si>
    <t xml:space="preserve">Margen de contribución</t>
  </si>
  <si>
    <t xml:space="preserve">GASTOS FIJOS</t>
  </si>
  <si>
    <t xml:space="preserve">Sueldos dirección y comercial (con carga social)</t>
  </si>
  <si>
    <t xml:space="preserve">Supervisor de producción (planta propia)</t>
  </si>
  <si>
    <t xml:space="preserve">Renta del taller</t>
  </si>
  <si>
    <t xml:space="preserve">Contador</t>
  </si>
  <si>
    <t xml:space="preserve">Servicios</t>
  </si>
  <si>
    <t xml:space="preserve">Software</t>
  </si>
  <si>
    <t xml:space="preserve">Gastos de arranque (una sola vez)</t>
  </si>
  <si>
    <t xml:space="preserve">TOTAL GASTOS FIJOS</t>
  </si>
  <si>
    <t xml:space="preserve">Depreciación</t>
  </si>
  <si>
    <t xml:space="preserve">Utilidad antes de impuestos</t>
  </si>
  <si>
    <t xml:space="preserve">Utilidad antes de impuestos acumulada</t>
  </si>
  <si>
    <t xml:space="preserve">ISR</t>
  </si>
  <si>
    <t xml:space="preserve">PTU</t>
  </si>
  <si>
    <t xml:space="preserve">UTILIDAD NETA</t>
  </si>
  <si>
    <t xml:space="preserve">Margen neto</t>
  </si>
  <si>
    <t xml:space="preserve">Flujo de efectivo y necesidad de capital (MXN)</t>
  </si>
  <si>
    <t xml:space="preserve">No incluye el efecto de caja del IVA (se acredita y se paga mes a mes). Saldos de capital de trabajo aproximados con días sobre el flujo del mes.</t>
  </si>
  <si>
    <t xml:space="preserve">+ Depreciación</t>
  </si>
  <si>
    <t xml:space="preserve">− Inversión en equipo</t>
  </si>
  <si>
    <t xml:space="preserve">Cuentas por cobrar (saldo)</t>
  </si>
  <si>
    <t xml:space="preserve">Inventario (saldo)</t>
  </si>
  <si>
    <t xml:space="preserve">Proveedores por pagar (saldo)</t>
  </si>
  <si>
    <t xml:space="preserve">Capital de trabajo neto</t>
  </si>
  <si>
    <t xml:space="preserve">− Aumento de capital de trabajo</t>
  </si>
  <si>
    <t xml:space="preserve">FLUJO DE EFECTIVO LIBRE</t>
  </si>
  <si>
    <t xml:space="preserve">Flujo acumulado</t>
  </si>
  <si>
    <t xml:space="preserve">Ayuda: mes en que se recupera</t>
  </si>
  <si>
    <t xml:space="preserve">NECESIDAD MÁXIMA DE CAPITAL (incluye caja mínima)</t>
  </si>
  <si>
    <t xml:space="preserve">MES EN QUE SE RECUPERA LO INVERTIDO</t>
  </si>
  <si>
    <t xml:space="preserve">Inversión en equipo, costo de transformación y capacidad</t>
  </si>
  <si>
    <t xml:space="preserve">Precios de equipo ESTIMADOS de referencia: cotizar antes de comprar. Nivel 3 no entra al flujo; es la referencia para cuando se rebase el nivel 2.</t>
  </si>
  <si>
    <t xml:space="preserve">NIVEL 1 · Taller casero (prototipos y piloto)</t>
  </si>
  <si>
    <t xml:space="preserve">Equipo</t>
  </si>
  <si>
    <t xml:space="preserve">Cantidad</t>
  </si>
  <si>
    <t xml:space="preserve">Precio unitario</t>
  </si>
  <si>
    <t xml:space="preserve">Total</t>
  </si>
  <si>
    <t xml:space="preserve">Olla de baño María acero inoxidable 10 L</t>
  </si>
  <si>
    <t xml:space="preserve">Jarra de vaciado con pico 2 L</t>
  </si>
  <si>
    <t xml:space="preserve">Termómetro digital de cocina</t>
  </si>
  <si>
    <t xml:space="preserve">Termómetro infrarrojo</t>
  </si>
  <si>
    <t xml:space="preserve">Temperatura exterior del vaso</t>
  </si>
  <si>
    <t xml:space="preserve">Báscula 0.1 g / 5 kg</t>
  </si>
  <si>
    <t xml:space="preserve">Pesaje diario en pruebas</t>
  </si>
  <si>
    <t xml:space="preserve">Pistola de calor</t>
  </si>
  <si>
    <t xml:space="preserve">Centradores de mecha (paquete)</t>
  </si>
  <si>
    <t xml:space="preserve">Anaquel metálico para curado</t>
  </si>
  <si>
    <t xml:space="preserve">Extintor clase B + tapa metálica</t>
  </si>
  <si>
    <t xml:space="preserve">Nunca agua en fuego de cera</t>
  </si>
  <si>
    <t xml:space="preserve">Parrilla eléctrica de inducción</t>
  </si>
  <si>
    <t xml:space="preserve">TOTAL</t>
  </si>
  <si>
    <t xml:space="preserve">NIVEL 2 · Taller formal (planta propia)</t>
  </si>
  <si>
    <t xml:space="preserve">Fusor de cera 50 kg con termostato y llave</t>
  </si>
  <si>
    <t xml:space="preserve">Cotizar</t>
  </si>
  <si>
    <t xml:space="preserve">Mesa de vaciado de acero inoxidable</t>
  </si>
  <si>
    <t xml:space="preserve">Rack de curado con ruedas</t>
  </si>
  <si>
    <t xml:space="preserve">Precalentador de vasos (cámara / horno)</t>
  </si>
  <si>
    <t xml:space="preserve">Evita burbujas y despegue</t>
  </si>
  <si>
    <t xml:space="preserve">Impresora térmica de etiquetas</t>
  </si>
  <si>
    <t xml:space="preserve">Lote y fecha en cada pieza</t>
  </si>
  <si>
    <t xml:space="preserve">Selladora / túnel de termoencogible pequeño</t>
  </si>
  <si>
    <t xml:space="preserve">Repuestos</t>
  </si>
  <si>
    <t xml:space="preserve">Básculas de piso y de mesa</t>
  </si>
  <si>
    <t xml:space="preserve">Adecuación del local (eléctrica, ventilación, piso)</t>
  </si>
  <si>
    <t xml:space="preserve">Protección Civil: extintores, señalética, botiquín</t>
  </si>
  <si>
    <t xml:space="preserve">Computadora y lector de códigos</t>
  </si>
  <si>
    <t xml:space="preserve">Patín hidráulico</t>
  </si>
  <si>
    <t xml:space="preserve">NIVEL 3 · Planta (referencia, no entra al flujo)</t>
  </si>
  <si>
    <t xml:space="preserve">Tanque de fusión 500 kg con agitador</t>
  </si>
  <si>
    <t xml:space="preserve">Llenadora dosificadora de 4 boquillas</t>
  </si>
  <si>
    <t xml:space="preserve">Insertadora de mechas</t>
  </si>
  <si>
    <t xml:space="preserve">Túnel de enfriamiento</t>
  </si>
  <si>
    <t xml:space="preserve">Etiquetadora automática</t>
  </si>
  <si>
    <t xml:space="preserve">Báscula de control de peso en línea</t>
  </si>
  <si>
    <t xml:space="preserve">Banda transportadora y empacado</t>
  </si>
  <si>
    <t xml:space="preserve">Compresor, instalación y adecuaciones</t>
  </si>
  <si>
    <t xml:space="preserve">COSTO DE TRANSFORMACIÓN EN PLANTA PROPIA (por pieza con vaso)</t>
  </si>
  <si>
    <t xml:space="preserve">Salario mínimo diario</t>
  </si>
  <si>
    <t xml:space="preserve">Salario diario del operario</t>
  </si>
  <si>
    <t xml:space="preserve">Costo diario con carga social</t>
  </si>
  <si>
    <t xml:space="preserve">Productividad (pzas por operario por día)</t>
  </si>
  <si>
    <t xml:space="preserve">Mano de obra por pieza</t>
  </si>
  <si>
    <t xml:space="preserve">TRANSFORMACIÓN PROPIA POR PIEZA</t>
  </si>
  <si>
    <t xml:space="preserve">Cuota de maquila por pieza (comparación)</t>
  </si>
  <si>
    <t xml:space="preserve">Ahorro por pieza con planta propia</t>
  </si>
  <si>
    <t xml:space="preserve">Costo fijo mensual de tener planta (renta + supervisor + depreciación)</t>
  </si>
  <si>
    <t xml:space="preserve">Piezas al mes para que la planta propia convenga vs maquila</t>
  </si>
  <si>
    <t xml:space="preserve">CAPACIDAD</t>
  </si>
  <si>
    <t xml:space="preserve">Capacidad nivel 1 (piezas por día a mano)</t>
  </si>
  <si>
    <t xml:space="preserve">Capacidad nivel 1 por mes</t>
  </si>
  <si>
    <t xml:space="preserve">Operarios máximos nivel 2 (2 turnos)</t>
  </si>
  <si>
    <t xml:space="preserve">Capacidad máxima nivel 2 por mes</t>
  </si>
  <si>
    <t xml:space="preserve">Velocidad línea nivel 3 (pzas por hora)</t>
  </si>
  <si>
    <t xml:space="preserve">Horas de línea por día nivel 3</t>
  </si>
  <si>
    <t xml:space="preserve">Capacidad nivel 3 por mes</t>
  </si>
  <si>
    <t xml:space="preserve">PRODUCCIÓN MENSUAL VS CAPACIDAD (planta nivel 2)</t>
  </si>
  <si>
    <t xml:space="preserve">Velas a producir</t>
  </si>
  <si>
    <t xml:space="preserve">Operarios requeridos (si hay planta propia)</t>
  </si>
  <si>
    <t xml:space="preserve">Uso de capacidad máxima nivel 2</t>
  </si>
  <si>
    <t xml:space="preserve">¿Rebasa nivel 2? (1 = sí)</t>
  </si>
  <si>
    <t xml:space="preserve">Producción arriba del promedio anual (para pre-producir en meses bajos)</t>
  </si>
  <si>
    <t xml:space="preserve">Ayuda: primer mes que rebasa</t>
  </si>
  <si>
    <t xml:space="preserve">Primer mes en que la demanda rebasa el nivel 2 (pasar a nivel 3)</t>
  </si>
  <si>
    <t xml:space="preserve">Máximo de operarios requeridos</t>
  </si>
  <si>
    <t xml:space="preserve">Pre-producción para temporada alta, año 2 (piezas a fabricar antes)</t>
  </si>
  <si>
    <t xml:space="preserve">Palancas de eficiencia: de dónde sale el dinero</t>
  </si>
  <si>
    <t xml:space="preserve">Cada palanca compara Base vs Optimizado por separado, aplicada a los volúmenes del año 2 del escenario activo. Son aproximadas: no suman exacto porque interactúan.</t>
  </si>
  <si>
    <t xml:space="preserve">Piezas del año 2 (escenario activo)</t>
  </si>
  <si>
    <t xml:space="preserve">Todas las velas de parafina</t>
  </si>
  <si>
    <t xml:space="preserve">Velas con vaso</t>
  </si>
  <si>
    <t xml:space="preserve">Piezas facturadas al distribuidor</t>
  </si>
  <si>
    <t xml:space="preserve">Semanal (distribuidor)</t>
  </si>
  <si>
    <t xml:space="preserve">Repuesto (distribuidor)</t>
  </si>
  <si>
    <t xml:space="preserve">Temporada (distribuidor)</t>
  </si>
  <si>
    <t xml:space="preserve">Personalizada (distribuidor)</t>
  </si>
  <si>
    <t xml:space="preserve">#</t>
  </si>
  <si>
    <t xml:space="preserve">Palanca</t>
  </si>
  <si>
    <t xml:space="preserve">Ganancia por pieza afectada</t>
  </si>
  <si>
    <t xml:space="preserve">Piezas afectadas (año 2)</t>
  </si>
  <si>
    <t xml:space="preserve">Impacto anual estimado</t>
  </si>
  <si>
    <t xml:space="preserve">Cómo se logra</t>
  </si>
  <si>
    <t xml:space="preserve">Precio de parafina (compra directa por tonelada)</t>
  </si>
  <si>
    <t xml:space="preserve">factor x</t>
  </si>
  <si>
    <t xml:space="preserve">Comprar por tonelada o contenedor; negociar con 3 proveedores; contrato trimestral.</t>
  </si>
  <si>
    <t xml:space="preserve">Mecha optimizada: menos gramos por hora</t>
  </si>
  <si>
    <t xml:space="preserve">Prueba de encendido: mecha más chica que sostiene flama estable. Es tu ventaja técnica.</t>
  </si>
  <si>
    <t xml:space="preserve">Menos cera residual al fondo</t>
  </si>
  <si>
    <t xml:space="preserve">Base metálica de cuello corto; recuperar cera de devoluciones.</t>
  </si>
  <si>
    <t xml:space="preserve">Vaso negociado por millar</t>
  </si>
  <si>
    <t xml:space="preserve">$ / vaso</t>
  </si>
  <si>
    <t xml:space="preserve">3 cotizaciones; vaso más ligero; pedido anual con entregas mensuales.</t>
  </si>
  <si>
    <t xml:space="preserve">Mecha, etiqueta y caja más baratas</t>
  </si>
  <si>
    <t xml:space="preserve">Carrete de mecha en lugar de mecha cortada; etiqueta por rollo; caja master estándar.</t>
  </si>
  <si>
    <t xml:space="preserve">Flete: más piezas por tarima y tarimas por viaje</t>
  </si>
  <si>
    <t xml:space="preserve">pzas / tarima</t>
  </si>
  <si>
    <t xml:space="preserve">Acomodo de cajas; camión más grande; aprovechar el regreso vacío del distribuidor.</t>
  </si>
  <si>
    <t xml:space="preserve">Merma más baja</t>
  </si>
  <si>
    <t xml:space="preserve">Precalentar vasos, enfriar lento, control de calidad por lote.</t>
  </si>
  <si>
    <t xml:space="preserve">Planta propia en vez de maquila</t>
  </si>
  <si>
    <t xml:space="preserve">Impacto ya descuenta renta, supervisor y depreciación de la planta. Negativo = mejor seguir con maquila.</t>
  </si>
  <si>
    <t xml:space="preserve">Margen de la tienda (30% → 27%)</t>
  </si>
  <si>
    <t xml:space="preserve">La tienda sigue ganando más que con refrescos (22–23%). Aproximado con el precio de la Semanal.</t>
  </si>
  <si>
    <t xml:space="preserve">Margen del distribuidor (20% → 17%)</t>
  </si>
  <si>
    <t xml:space="preserve">A cambio de exclusividad regional y volumen. Aproximado con el precio de la Semanal.</t>
  </si>
  <si>
    <t xml:space="preserve">Precios al público más altos (Semanal 45→49, etc.)</t>
  </si>
  <si>
    <t xml:space="preserve">$ Semanal</t>
  </si>
  <si>
    <t xml:space="preserve">Justificado por garantía de 7 días y costo por hora menor que la competencia.</t>
  </si>
  <si>
    <t xml:space="preserve">Mezcla con más repuesto y personalizada</t>
  </si>
  <si>
    <t xml:space="preserve">% personalizada</t>
  </si>
  <si>
    <t xml:space="preserve">Exhibidor que empuja el repuesto; personalizadas por WhatsApp en temporada.</t>
  </si>
  <si>
    <t xml:space="preserve">TOTAL APROXIMADO DE LAS PALANCAS (año 2)</t>
  </si>
  <si>
    <t xml:space="preserve">Utilidad ponderada por pieza: Base</t>
  </si>
  <si>
    <t xml:space="preserve">Utilidad ponderada por pieza: Optimizado</t>
  </si>
  <si>
    <t xml:space="preserve">INDICADORES DE EFICIENCIA DEL SISTEMA (escenario activo)</t>
  </si>
  <si>
    <t xml:space="preserve">Costo por hora de luz para el cliente (Semanal)</t>
  </si>
  <si>
    <t xml:space="preserve">Costo por hora de la competencia (semanal declarada)</t>
  </si>
  <si>
    <t xml:space="preserve">Gramos de cera por hora</t>
  </si>
  <si>
    <t xml:space="preserve">Cera como % del costo (Semanal)</t>
  </si>
  <si>
    <t xml:space="preserve">Vidrio como % del costo (Semanal)</t>
  </si>
  <si>
    <t xml:space="preserve">Costo de flete por pieza con vaso</t>
  </si>
  <si>
    <t xml:space="preserve">Costo de flete por repuesto</t>
  </si>
  <si>
    <t xml:space="preserve">Nuestra parte de cada peso del cliente (Semanal)</t>
  </si>
  <si>
    <t xml:space="preserve">Utilidad por kilo de cera procesada (ponderada)</t>
  </si>
  <si>
    <t xml:space="preserve">Repuesto vs Semanal: utilidad por pieza</t>
  </si>
  <si>
    <t xml:space="preserve">MÁS IDEAS PARA RASCAR EFICIENCIA (no cuantificadas en el modelo)</t>
  </si>
  <si>
    <t xml:space="preserve">• Vaso retornable tipo refresco: el cliente regresa el vaso y paga solo el relleno; reusar el vidrio 5–10 veces baja el costo del vaso a centavos.</t>
  </si>
  <si>
    <t xml:space="preserve">• Usar el regreso vacío de los camiones del distribuidor para recoger vasos y devoluciones sin costo de flete.</t>
  </si>
  <si>
    <t xml:space="preserve">• Pre-producir en junio–septiembre para Muertos y Navidad: nivela la planta y evita tiempo extra (ver Capex_Capacidad).</t>
  </si>
  <si>
    <t xml:space="preserve">• Derretir de noche: si la planta tiene tarifa eléctrica horaria, la energía más barata está en horario base.</t>
  </si>
  <si>
    <t xml:space="preserve">• Recuperar la cera de devoluciones y del fondo de los vasos retornados y volver a fundirla.</t>
  </si>
  <si>
    <t xml:space="preserve">• Imprimir directo sobre el vaso (serigrafía) en lugar de manga, para el producto de línea con volumen alto.</t>
  </si>
  <si>
    <t xml:space="preserve">• Pedidos mínimos por tienda en múltiplos de caja (12) para no partir cajas en la ruta.</t>
  </si>
  <si>
    <t xml:space="preserve">• Base metálica con mecha ya engargolada por el proveedor: elimina un paso de mano de obra.</t>
  </si>
  <si>
    <t xml:space="preserve">• Una sola receta de cera para todos los productos: menos cambios de fusor y menos merma.</t>
  </si>
  <si>
    <t xml:space="preserve">• Datos del QR: saber qué tiendas venden más para mover inventario entre tiendas antes de que se haga devolución.</t>
  </si>
  <si>
    <t xml:space="preserve">• Licenciar la especificación de mecha y el protocolo de prueba a otros fabricantes de veladoras fuera de la región.</t>
  </si>
  <si>
    <t xml:space="preserve">Sensibilidad: qué tan frágil es el negocio</t>
  </si>
  <si>
    <t xml:space="preserve">Fondo negro = perdemos. Todo lo demás se queda como está en el escenario activo.</t>
  </si>
  <si>
    <t xml:space="preserve">Ayudas de cálculo (escenario activo)</t>
  </si>
  <si>
    <t xml:space="preserve">Gramos de cera por Semanal</t>
  </si>
  <si>
    <t xml:space="preserve">Otros materiales de la Semanal (sin cera, antes de merma)</t>
  </si>
  <si>
    <t xml:space="preserve">Transformación en régimen</t>
  </si>
  <si>
    <t xml:space="preserve">De cada peso con IVA nos llega</t>
  </si>
  <si>
    <t xml:space="preserve">Contribución ponderada por pieza (después de variables)</t>
  </si>
  <si>
    <t xml:space="preserve">Gastos fijos mensuales promedio año 2</t>
  </si>
  <si>
    <t xml:space="preserve">1) Utilidad por Semanal según precio de parafina y precio al público</t>
  </si>
  <si>
    <t xml:space="preserve">Filas: parafina $/kg · Columnas: precio al público con IVA</t>
  </si>
  <si>
    <t xml:space="preserve">2) Utilidad por Semanal según margen de tienda y de distribuidor</t>
  </si>
  <si>
    <t xml:space="preserve">Filas: margen tienda · Columnas: margen distribuidor</t>
  </si>
  <si>
    <t xml:space="preserve">3) Utilidad mensual del canal distribuidor después de fijos (régimen)</t>
  </si>
  <si>
    <t xml:space="preserve">Filas: tiendas activas · Columnas: piezas por tienda por semana</t>
  </si>
  <si>
    <t xml:space="preserve">4) Utilidad por Semanal según gramos por hora y costo del vaso</t>
  </si>
  <si>
    <t xml:space="preserve">Filas: consumo g/h · Columnas: costo del vaso</t>
  </si>
  <si>
    <t xml:space="preserve">Todos ganan: cliente, tienda, distribuidor y nosotros</t>
  </si>
  <si>
    <t xml:space="preserve">Promedios del año 2 del escenario activo. Esta es la hoja para enseñarle al distribuidor.</t>
  </si>
  <si>
    <t xml:space="preserve">POR PIEZA (canal distribuidor)</t>
  </si>
  <si>
    <t xml:space="preserve">Ponderado</t>
  </si>
  <si>
    <t xml:space="preserve">El cliente paga</t>
  </si>
  <si>
    <t xml:space="preserve">POR MES (promedio año 2)</t>
  </si>
  <si>
    <t xml:space="preserve">Tiendas activas promedio</t>
  </si>
  <si>
    <t xml:space="preserve">Piezas que vende cada tienda al mes</t>
  </si>
  <si>
    <t xml:space="preserve">CADA TIENDA GANA AL MES</t>
  </si>
  <si>
    <t xml:space="preserve">Margen de la tienda con la vela</t>
  </si>
  <si>
    <t xml:space="preserve">Margen de la tienda con refrescos (referencia)</t>
  </si>
  <si>
    <t xml:space="preserve">Piezas facturadas al distribuidor al mes</t>
  </si>
  <si>
    <t xml:space="preserve">EL DISTRIBUIDOR GANA AL MES</t>
  </si>
  <si>
    <t xml:space="preserve">NOSOTROS: EBITDA AL MES</t>
  </si>
  <si>
    <t xml:space="preserve">Nosotros: utilidad neta al mes</t>
  </si>
  <si>
    <t xml:space="preserve">EL CLIENTE (cliente devoto: 1 veladora a la semana)</t>
  </si>
  <si>
    <t xml:space="preserve">Costo por hora con nuestra Semanal</t>
  </si>
  <si>
    <t xml:space="preserve">Costo por hora con nuestro Repuesto</t>
  </si>
  <si>
    <t xml:space="preserve">Costo por hora competencia (semanal, horas declaradas)</t>
  </si>
  <si>
    <t xml:space="preserve">Gasto al año con la competencia (52 semanales)</t>
  </si>
  <si>
    <t xml:space="preserve">Gasto al año con nosotros (1 Semanal + 51 Repuestos)</t>
  </si>
  <si>
    <t xml:space="preserve">AHORRO DEL CLIENTE AL AÑO</t>
  </si>
  <si>
    <t xml:space="preserve">Valor de vida del cliente para nosotros (utilidad en 1 año)</t>
  </si>
  <si>
    <t xml:space="preserve">Costo de abrir una tienda (exhibidor + POP)</t>
  </si>
  <si>
    <t xml:space="preserve">Nuestra utilidad por tienda al mes</t>
  </si>
  <si>
    <t xml:space="preserve">Meses para pagar el exhibidor</t>
  </si>
  <si>
    <t xml:space="preserve">Nota: si el ahorro sale negativo, el cliente paga más que con la competencia pero recibe 7 días garantizados; el argumento entonces es costo por hora, no precio.</t>
  </si>
  <si>
    <t xml:space="preserve">Lo que gana un distribuidor</t>
  </si>
  <si>
    <t xml:space="preserve">Para la llamada con cada distribuidor. Cambia las celdas con marco: tiendas que surte y piezas por tienda. Lo demás sale del escenario activo.</t>
  </si>
  <si>
    <t xml:space="preserve">POR TAMAÑO DE DISTRIBUIDOR</t>
  </si>
  <si>
    <t xml:space="preserve">C · Chico</t>
  </si>
  <si>
    <t xml:space="preserve">B · Mediano</t>
  </si>
  <si>
    <t xml:space="preserve">A · Grande</t>
  </si>
  <si>
    <t xml:space="preserve">Tu caso</t>
  </si>
  <si>
    <t xml:space="preserve">Tiendas que surte</t>
  </si>
  <si>
    <t xml:space="preserve">Piezas que vende cada tienda por semana</t>
  </si>
  <si>
    <t xml:space="preserve">ESTIMADO: se mide en el piloto. El escenario Medio usa 8.</t>
  </si>
  <si>
    <t xml:space="preserve">Piezas al mes</t>
  </si>
  <si>
    <t xml:space="preserve">Tiendas × piezas × 4.33 semanas.</t>
  </si>
  <si>
    <t xml:space="preserve">El distribuidor gana por pieza</t>
  </si>
  <si>
    <t xml:space="preserve">Promedio ponderado por la mezcla de productos (hoja Cascada).</t>
  </si>
  <si>
    <t xml:space="preserve">El distribuidor gana al año</t>
  </si>
  <si>
    <t xml:space="preserve">Sin contar la estacionalidad.</t>
  </si>
  <si>
    <t xml:space="preserve">Piezas de la tienda × lo que gana por pieza.</t>
  </si>
  <si>
    <t xml:space="preserve">Su compra mensual a nosotros, con IVA</t>
  </si>
  <si>
    <t xml:space="preserve">Lo que nos paga el distribuidor cada mes.</t>
  </si>
  <si>
    <t xml:space="preserve">Repuestos al mes (cartuchos que van y vienen)</t>
  </si>
  <si>
    <t xml:space="preserve">Piezas × parte de la mezcla que es repuesto.</t>
  </si>
  <si>
    <t xml:space="preserve">Nosotros: utilidad bruta al mes con este distribuidor</t>
  </si>
  <si>
    <t xml:space="preserve">Antes de gastos fijos.</t>
  </si>
  <si>
    <t xml:space="preserve">CÓMO SE CALIFICA UNA SOLICITUD (interno, no se publica)</t>
  </si>
  <si>
    <t xml:space="preserve">Pregunta del formulario</t>
  </si>
  <si>
    <t xml:space="preserve">1 punto</t>
  </si>
  <si>
    <t xml:space="preserve">2 puntos</t>
  </si>
  <si>
    <t xml:space="preserve">3 puntos</t>
  </si>
  <si>
    <t xml:space="preserve">Puntos de venta que surte</t>
  </si>
  <si>
    <t xml:space="preserve">Menos de 100</t>
  </si>
  <si>
    <t xml:space="preserve">100–300</t>
  </si>
  <si>
    <t xml:space="preserve">Más de 300</t>
  </si>
  <si>
    <t xml:space="preserve">Cada cuánto visita cada tienda</t>
  </si>
  <si>
    <t xml:space="preserve">Cada mes</t>
  </si>
  <si>
    <t xml:space="preserve">Cada 2 semanas</t>
  </si>
  <si>
    <t xml:space="preserve">Cada semana</t>
  </si>
  <si>
    <t xml:space="preserve">Veladoras que ya vende al mes</t>
  </si>
  <si>
    <t xml:space="preserve">No vende o menos de 1,000</t>
  </si>
  <si>
    <t xml:space="preserve">1,000–10,000</t>
  </si>
  <si>
    <t xml:space="preserve">Más de 10,000</t>
  </si>
  <si>
    <t xml:space="preserve">Vehículos de reparto</t>
  </si>
  <si>
    <t xml:space="preserve">1–2</t>
  </si>
  <si>
    <t xml:space="preserve">3–10</t>
  </si>
  <si>
    <t xml:space="preserve">Más de 10</t>
  </si>
  <si>
    <t xml:space="preserve">Tamaño del primer pedido</t>
  </si>
  <si>
    <t xml:space="preserve">Menos de $10 mil</t>
  </si>
  <si>
    <t xml:space="preserve">$10–50 mil</t>
  </si>
  <si>
    <t xml:space="preserve">Más de $50 mil</t>
  </si>
  <si>
    <t xml:space="preserve">Puntaje</t>
  </si>
  <si>
    <t xml:space="preserve">Tipo</t>
  </si>
  <si>
    <t xml:space="preserve">Qué hacer</t>
  </si>
  <si>
    <t xml:space="preserve">12 a 15</t>
  </si>
  <si>
    <t xml:space="preserve">Llamada en menos de 24 horas y visita a su bodega. Ofrecer exclusividad de zona.</t>
  </si>
  <si>
    <t xml:space="preserve">8 a 11</t>
  </si>
  <si>
    <t xml:space="preserve">Videollamada en 72 horas. Piloto con 30 a 50 tiendas.</t>
  </si>
  <si>
    <t xml:space="preserve">5 a 7</t>
  </si>
  <si>
    <t xml:space="preserve">Mensaje con catálogo y pedido mínimo. Sin llamada.</t>
  </si>
  <si>
    <t xml:space="preserve">Más de 10,000 veladoras al mes es A directo. Zona con exclusividad ya asignada: lista de espera.</t>
  </si>
  <si>
    <t xml:space="preserve">Las solicitudes del sitio (vela.capitaltorreon.com/distribuir) se guardan ya calificadas con esta tabla.</t>
  </si>
  <si>
    <t xml:space="preserve">Competencia: precios y prueba de horas reales</t>
  </si>
  <si>
    <t xml:space="preserve">Precios publicados en línea (octubre 2026). Llena 'Horas medidas' y 'Peso de cera' con tus pruebas de encendido: ese es tu argumento de venta.</t>
  </si>
  <si>
    <t xml:space="preserve">Producto</t>
  </si>
  <si>
    <t xml:space="preserve">Horas declaradas</t>
  </si>
  <si>
    <t xml:space="preserve">Horas medidas (prueba)</t>
  </si>
  <si>
    <t xml:space="preserve">Peso de cera (g)</t>
  </si>
  <si>
    <t xml:space="preserve">$ por hora (declarada)</t>
  </si>
  <si>
    <t xml:space="preserve">$ por hora (medida)</t>
  </si>
  <si>
    <t xml:space="preserve">g/h medido</t>
  </si>
  <si>
    <t xml:space="preserve">Fuente</t>
  </si>
  <si>
    <t xml:space="preserve">Veladora Rosita Ecológica Semanal</t>
  </si>
  <si>
    <t xml:space="preserve">Scorpion</t>
  </si>
  <si>
    <t xml:space="preserve">scorpion.com.mx</t>
  </si>
  <si>
    <t xml:space="preserve">Veladora San Juan Ecológica Surtida Grande</t>
  </si>
  <si>
    <t xml:space="preserve">Semanal grande</t>
  </si>
  <si>
    <t xml:space="preserve">Veladora Rosita Ecológica Media Semana</t>
  </si>
  <si>
    <t xml:space="preserve">Media semana</t>
  </si>
  <si>
    <t xml:space="preserve">Veladora Farolito 1/2 Semana Blanca</t>
  </si>
  <si>
    <t xml:space="preserve">scorpion.com.mx (verificar si es precio por pieza)</t>
  </si>
  <si>
    <t xml:space="preserve">Repuesto sin vaso No. 21 Luz Eterna</t>
  </si>
  <si>
    <t xml:space="preserve">Alsuper</t>
  </si>
  <si>
    <t xml:space="preserve">alsuper.com</t>
  </si>
  <si>
    <t xml:space="preserve">Repuesto de Veladora Aramo No. 5</t>
  </si>
  <si>
    <t xml:space="preserve">Veladora San Marcos Repuesto #5</t>
  </si>
  <si>
    <t xml:space="preserve">Súper La Violeta</t>
  </si>
  <si>
    <t xml:space="preserve">superlavioleta.com</t>
  </si>
  <si>
    <t xml:space="preserve">Repuesto de Veladora San Juan Grande</t>
  </si>
  <si>
    <t xml:space="preserve">Veladora San Marcos Limonero</t>
  </si>
  <si>
    <t xml:space="preserve">Limonero</t>
  </si>
  <si>
    <t xml:space="preserve">Veladora San Juan Limonero Fino</t>
  </si>
  <si>
    <t xml:space="preserve">Veladora México Limonero Liso Supremo</t>
  </si>
  <si>
    <t xml:space="preserve">Cómo se usa: compra 2 piezas de cada semanal y repuesto, pésalas, préndelas y registra las horas reales en 'Prueba_encendido'. Si la competencia dura menos de 168 h, tu promesa de 7 días garantizados vale más que la diferencia de precio.</t>
  </si>
  <si>
    <t xml:space="preserve">Registro de prueba de encendido</t>
  </si>
  <si>
    <t xml:space="preserve">Una hoja por prototipo (duplica la hoja). Pesa la vela al terminar cada sesión. Celdas con marco = captura. La primera fila es un ejemplo.</t>
  </si>
  <si>
    <t xml:space="preserve">Prototipo</t>
  </si>
  <si>
    <t xml:space="preserve">P1 · Parafina 58-60 · mecha 1/0</t>
  </si>
  <si>
    <t xml:space="preserve">Vaso (diámetro interior, cm)</t>
  </si>
  <si>
    <t xml:space="preserve">Peso inicial de cera (g)</t>
  </si>
  <si>
    <t xml:space="preserve">Cera residual esperada</t>
  </si>
  <si>
    <t xml:space="preserve">Horas objetivo</t>
  </si>
  <si>
    <t xml:space="preserve">Sesión #</t>
  </si>
  <si>
    <t xml:space="preserve">Horas de la sesión</t>
  </si>
  <si>
    <t xml:space="preserve">Horas acumuladas</t>
  </si>
  <si>
    <t xml:space="preserve">Peso al terminar (g)</t>
  </si>
  <si>
    <t xml:space="preserve">g consumidos acumulados</t>
  </si>
  <si>
    <t xml:space="preserve">g/h promedio</t>
  </si>
  <si>
    <t xml:space="preserve">Horas totales proyectadas</t>
  </si>
  <si>
    <t xml:space="preserve">¿Llega a la meta?</t>
  </si>
  <si>
    <t xml:space="preserve">Flama (mm)</t>
  </si>
  <si>
    <t xml:space="preserve">Temp. exterior vaso (°C)</t>
  </si>
  <si>
    <t xml:space="preserve">¿Túnel?</t>
  </si>
  <si>
    <t xml:space="preserve">¿Hollín?</t>
  </si>
  <si>
    <t xml:space="preserve">Notas</t>
  </si>
  <si>
    <t xml:space="preserve">No</t>
  </si>
  <si>
    <t xml:space="preserve">Primera encendida: alberca a la orilla en 3 h</t>
  </si>
  <si>
    <t xml:space="preserve">Último g/h medido</t>
  </si>
  <si>
    <t xml:space="preserve">Pasa este número a Supuestos → 'Consumo de parafina con mecha optimizada' cuando termines la prueba.</t>
  </si>
  <si>
    <t xml:space="preserve">Supuestos por validar y riesgos</t>
  </si>
  <si>
    <t xml:space="preserve">Cada línea es una tarea. Estado: Pendiente / En curso / Validado.</t>
  </si>
  <si>
    <t xml:space="preserve">Supuesto o riesgo</t>
  </si>
  <si>
    <t xml:space="preserve">Impacto</t>
  </si>
  <si>
    <t xml:space="preserve">Dónde vive en el modelo</t>
  </si>
  <si>
    <t xml:space="preserve">Cómo se valida</t>
  </si>
  <si>
    <t xml:space="preserve">Responsable</t>
  </si>
  <si>
    <t xml:space="preserve">Fecha meta</t>
  </si>
  <si>
    <t xml:space="preserve">Estado</t>
  </si>
  <si>
    <t xml:space="preserve">Precio real de la parafina por tonelada</t>
  </si>
  <si>
    <t xml:space="preserve">Supuestos · Materiales</t>
  </si>
  <si>
    <t xml:space="preserve">3 cotizaciones: Pochteca, importador y distribuidor local</t>
  </si>
  <si>
    <t xml:space="preserve">Pendiente</t>
  </si>
  <si>
    <t xml:space="preserve">Consumo real en g/h con mecha optimizada</t>
  </si>
  <si>
    <t xml:space="preserve">Supuestos · Rendimiento</t>
  </si>
  <si>
    <t xml:space="preserve">Prueba de encendido de 3 prototipos (Prueba_encendido)</t>
  </si>
  <si>
    <t xml:space="preserve">Costo del vaso por millar</t>
  </si>
  <si>
    <t xml:space="preserve">3 cotizaciones de vidrieras</t>
  </si>
  <si>
    <t xml:space="preserve">Márgenes reales de tienda y distribuidor</t>
  </si>
  <si>
    <t xml:space="preserve">Supuestos · Márgenes</t>
  </si>
  <si>
    <t xml:space="preserve">Entrevista con el distribuidor (preguntas del go-to-market)</t>
  </si>
  <si>
    <t xml:space="preserve">Supuestos · Escenarios de volumen</t>
  </si>
  <si>
    <t xml:space="preserve">Piloto de 50 tiendas, 4 semanas</t>
  </si>
  <si>
    <t xml:space="preserve">% de clientes que regresan por el repuesto</t>
  </si>
  <si>
    <t xml:space="preserve">Supuestos · Mezcla</t>
  </si>
  <si>
    <t xml:space="preserve">Medir en el piloto con el registro QR</t>
  </si>
  <si>
    <t xml:space="preserve">Cuota de maquila</t>
  </si>
  <si>
    <t xml:space="preserve">Supuestos · Transformación</t>
  </si>
  <si>
    <t xml:space="preserve">Cotizar con 2 fábricas de veladoras</t>
  </si>
  <si>
    <t xml:space="preserve">Días de cobro del distribuidor</t>
  </si>
  <si>
    <t xml:space="preserve">Supuestos · Capital de trabajo</t>
  </si>
  <si>
    <t xml:space="preserve">Negociar pronto pago o factoraje</t>
  </si>
  <si>
    <t xml:space="preserve">Duración real de la competencia</t>
  </si>
  <si>
    <t xml:space="preserve">Comprar y probar 5 marcas</t>
  </si>
  <si>
    <t xml:space="preserve">Reclamos de la garantía de 7 días</t>
  </si>
  <si>
    <t xml:space="preserve">Supuestos · Gastos variables</t>
  </si>
  <si>
    <t xml:space="preserve">Registro QR + seguimiento</t>
  </si>
  <si>
    <t xml:space="preserve">Calor en tránsito y bodega (verano en Torreón)</t>
  </si>
  <si>
    <t xml:space="preserve">Dejar muestras 2 semanas en la bodega del distribuidor</t>
  </si>
  <si>
    <t xml:space="preserve">Rotura de vidrio en ruta</t>
  </si>
  <si>
    <t xml:space="preserve">Supuestos · Merma</t>
  </si>
  <si>
    <t xml:space="preserve">Prueba de caída con caja master</t>
  </si>
  <si>
    <t xml:space="preserve">Etiquetado NOM-050-SCFI y advertencias</t>
  </si>
  <si>
    <t xml:space="preserve">Gastos de arranque</t>
  </si>
  <si>
    <t xml:space="preserve">Revisión legal antes de imprimir</t>
  </si>
  <si>
    <t xml:space="preserve">Registro de marca en el IMPI</t>
  </si>
  <si>
    <t xml:space="preserve">Búsqueda fonética previa</t>
  </si>
  <si>
    <t xml:space="preserve">Contrato con distribuidor: exclusividad, mínimos, devoluciones</t>
  </si>
  <si>
    <t xml:space="preserve">—</t>
  </si>
  <si>
    <t xml:space="preserve">Abogado; firmar antes del roll-out</t>
  </si>
  <si>
    <t xml:space="preserve">Acuerdo de socios por escrito</t>
  </si>
  <si>
    <t xml:space="preserve">Antes de facturar la primera pieza</t>
  </si>
  <si>
    <t xml:space="preserve">Abasto de cera de abeja (línea premium)</t>
  </si>
  <si>
    <t xml:space="preserve">Supuestos · Canales directos</t>
  </si>
  <si>
    <t xml:space="preserve">Contrato con apicultores de la región</t>
  </si>
  <si>
    <t xml:space="preserve">Precio de la competencia baja</t>
  </si>
  <si>
    <t xml:space="preserve">Monitoreo mensual de precios</t>
  </si>
  <si>
    <t xml:space="preserve">Fuentes de datos</t>
  </si>
  <si>
    <t xml:space="preserve">Lo que no aparece aquí es un estimado marcado como ESTIMADO en Supuestos y debe cotizarse.</t>
  </si>
  <si>
    <t xml:space="preserve">Dato</t>
  </si>
  <si>
    <t xml:space="preserve">Valor usado</t>
  </si>
  <si>
    <t xml:space="preserve">$18.3688 MXN/USD (2-oct-2026)</t>
  </si>
  <si>
    <t xml:space="preserve">https://dolardof.com/</t>
  </si>
  <si>
    <t xml:space="preserve">Parafina internacional</t>
  </si>
  <si>
    <t xml:space="preserve">USD 1,461/t promedio Norteamérica Q2-2026</t>
  </si>
  <si>
    <t xml:space="preserve">https://www.chemanalyst.com/Pricing-data/paraffin-wax-1205</t>
  </si>
  <si>
    <t xml:space="preserve">Salario mínimo 2026</t>
  </si>
  <si>
    <t xml:space="preserve">$315.04 diarios zona general</t>
  </si>
  <si>
    <t xml:space="preserve">https://fortia.com.mx/sueldo-beneficios-y-prestaciones/salario-minimo-en-mexico/</t>
  </si>
  <si>
    <t xml:space="preserve">Margen de tiendas de abarrotes</t>
  </si>
  <si>
    <t xml:space="preserve">Refrescos 22–23%; abarrote básico ~32%</t>
  </si>
  <si>
    <t xml:space="preserve">https://eleventa.com/blog/calcular-ganancias-tienda-abarrotes</t>
  </si>
  <si>
    <t xml:space="preserve">Mercado de veladoras en México</t>
  </si>
  <si>
    <t xml:space="preserve">$5,484 mdp (2024); 25–35% de ventas en temporada de Muertos</t>
  </si>
  <si>
    <t xml:space="preserve">https://www.solunion.mx/blog/luces-que-mueven-la-economia-el-mercado-de-veladoras-en-mexico/</t>
  </si>
  <si>
    <t xml:space="preserve">Precios de competencia</t>
  </si>
  <si>
    <t xml:space="preserve">Semanal $34.90; repuestos $15.50–$21.50</t>
  </si>
  <si>
    <t xml:space="preserve">https://www.scorpion.com.mx/tienda/hogar-y-limpieza/hogar/veladoras-y-cerillos.html</t>
  </si>
  <si>
    <t xml:space="preserve">Limoneros y repuesto $12.50–$23.90</t>
  </si>
  <si>
    <t xml:space="preserve">https://superlavioleta.com/collections/velas-y-veladoras</t>
  </si>
  <si>
    <t xml:space="preserve">Repuesto sin vaso</t>
  </si>
  <si>
    <t xml:space="preserve">$30.90</t>
  </si>
  <si>
    <t xml:space="preserve">https://alsuper.com/producto/veladora-repuesto-sin-vaso-no.21-368629</t>
  </si>
  <si>
    <t xml:space="preserve">Cera de abeja</t>
  </si>
  <si>
    <t xml:space="preserve">$231/kg al menudeo</t>
  </si>
  <si>
    <t xml:space="preserve">https://merceriaalma.com.mx/ceras-botanicas-naturales/1040-cera-de-abeja-1kg.html</t>
  </si>
  <si>
    <t xml:space="preserve">Comisiones Mercado Libre</t>
  </si>
  <si>
    <t xml:space="preserve">13–20% según categoría</t>
  </si>
  <si>
    <t xml:space="preserve">https://www.wivoanalytics.com/blog/cuanto-cobra-mercado-libre-por-venta-en-2025-guia-completa-de-comisiones-envios-y-mas</t>
  </si>
  <si>
    <t xml:space="preserve">Parroquias Diócesis de Torreón</t>
  </si>
  <si>
    <t xml:space="preserve">51 (2021)</t>
  </si>
  <si>
    <t xml:space="preserve">https://es.wikipedia.org/wiki/Di%C3%B3cesis_de_Torre%C3%B3n</t>
  </si>
  <si>
    <t xml:space="preserve">Lámpara del Santísimo</t>
  </si>
  <si>
    <t xml:space="preserve">Arde perpetuamente, con aceite o cera</t>
  </si>
  <si>
    <t xml:space="preserve">https://www.artesacro.org/Noticia.asp?idreg=27843</t>
  </si>
  <si>
    <t xml:space="preserve">Consumo con mecha estándar</t>
  </si>
  <si>
    <t xml:space="preserve">Parafina ~5 g/h; soya ~4 g/h</t>
  </si>
  <si>
    <t xml:space="preserve">https://enrichbodycare.com/container-candle-burning-time-test/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</si>
</sst>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\$#,##0"/>
    <numFmt numFmtId="170" formatCode="#,##0.00;\(#,##0.00\);\-"/>
    <numFmt numFmtId="171" formatCode="mmm\-yy"/>
    <numFmt numFmtId="172" formatCode="#,##0.0;\(#,##0.0\);\-"/>
    <numFmt numFmtId="173" formatCode="#,##0;\(#,##0\);\-"/>
    <numFmt numFmtId="174" formatCode="0.00"/>
    <numFmt numFmtId="175" formatCode="dd\-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Georgia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000000"/>
        <bgColor rgb="FF111111"/>
      </patternFill>
    </fill>
    <fill>
      <patternFill patternType="solid">
        <fgColor rgb="FFC8C8C8"/>
        <bgColor rgb="FFD9D9D9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1111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78787"/>
      <rgbColor rgb="FF9999FF"/>
      <rgbColor rgb="FFC0504D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B3B3B3"/>
      <rgbColor rgb="FF003366"/>
      <rgbColor rgb="FF339966"/>
      <rgbColor rgb="FF111111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mensual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516642.038160837</c:v>
                </c:pt>
                <c:pt idx="15">
                  <c:v>541050.307440902</c:v>
                </c:pt>
                <c:pt idx="16">
                  <c:v>589866.846001032</c:v>
                </c:pt>
                <c:pt idx="17">
                  <c:v>614275.115281096</c:v>
                </c:pt>
                <c:pt idx="18">
                  <c:v>589866.846001032</c:v>
                </c:pt>
                <c:pt idx="19">
                  <c:v>516642.038160837</c:v>
                </c:pt>
                <c:pt idx="20">
                  <c:v>516642.038160837</c:v>
                </c:pt>
                <c:pt idx="21">
                  <c:v>516642.038160837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-84631.0565372738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-3133.70406726272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24282.0328791469</c:v>
                </c:pt>
                <c:pt idx="15">
                  <c:v>30369.6741490331</c:v>
                </c:pt>
                <c:pt idx="16">
                  <c:v>42544.9566888056</c:v>
                </c:pt>
                <c:pt idx="17">
                  <c:v>48632.5979586918</c:v>
                </c:pt>
                <c:pt idx="18">
                  <c:v>42544.9566888056</c:v>
                </c:pt>
                <c:pt idx="19">
                  <c:v>24282.0328791469</c:v>
                </c:pt>
                <c:pt idx="20">
                  <c:v>24282.0328791469</c:v>
                </c:pt>
                <c:pt idx="21">
                  <c:v>24282.0328791469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59507.3417053608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</c:ser>
        <c:gapWidth val="150"/>
        <c:overlap val="0"/>
        <c:axId val="75100283"/>
        <c:axId val="40701736"/>
      </c:barChart>
      <c:catAx>
        <c:axId val="751002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01736"/>
        <c:crosses val="autoZero"/>
        <c:auto val="1"/>
        <c:lblAlgn val="ctr"/>
        <c:lblOffset val="100"/>
        <c:noMultiLvlLbl val="0"/>
      </c:catAx>
      <c:valAx>
        <c:axId val="40701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10028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C8C8C8"/>
            </a:solidFill>
            <a:ln w="12600">
              <a:solidFill>
                <a:srgbClr val="C8C8C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516642.038160837</c:v>
                </c:pt>
                <c:pt idx="15">
                  <c:v>541050.307440902</c:v>
                </c:pt>
                <c:pt idx="16">
                  <c:v>589866.846001032</c:v>
                </c:pt>
                <c:pt idx="17">
                  <c:v>614275.115281096</c:v>
                </c:pt>
                <c:pt idx="18">
                  <c:v>589866.846001032</c:v>
                </c:pt>
                <c:pt idx="19">
                  <c:v>516642.038160837</c:v>
                </c:pt>
                <c:pt idx="20">
                  <c:v>516642.038160837</c:v>
                </c:pt>
                <c:pt idx="21">
                  <c:v>516642.038160837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gapWidth val="40"/>
        <c:overlap val="0"/>
        <c:axId val="711818"/>
        <c:axId val="30273668"/>
      </c:barChart>
      <c:lineChart>
        <c:grouping val="standard"/>
        <c:varyColors val="0"/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ln w="28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-84631.0565372738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-3133.70406726272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24282.0328791469</c:v>
                </c:pt>
                <c:pt idx="15">
                  <c:v>30369.6741490331</c:v>
                </c:pt>
                <c:pt idx="16">
                  <c:v>42544.9566888056</c:v>
                </c:pt>
                <c:pt idx="17">
                  <c:v>48632.5979586918</c:v>
                </c:pt>
                <c:pt idx="18">
                  <c:v>42544.9566888056</c:v>
                </c:pt>
                <c:pt idx="19">
                  <c:v>24282.0328791469</c:v>
                </c:pt>
                <c:pt idx="20">
                  <c:v>24282.0328791469</c:v>
                </c:pt>
                <c:pt idx="21">
                  <c:v>24282.0328791469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59507.3417053608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1818"/>
        <c:axId val="30273668"/>
      </c:lineChart>
      <c:catAx>
        <c:axId val="711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273668"/>
        <c:crosses val="autoZero"/>
        <c:auto val="1"/>
        <c:lblAlgn val="ctr"/>
        <c:lblOffset val="100"/>
        <c:noMultiLvlLbl val="0"/>
      </c:catAx>
      <c:valAx>
        <c:axId val="30273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818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18</xdr:col>
      <xdr:colOff>581040</xdr:colOff>
      <xdr:row>19</xdr:row>
      <xdr:rowOff>146520</xdr:rowOff>
    </xdr:to>
    <xdr:graphicFrame>
      <xdr:nvGraphicFramePr>
        <xdr:cNvPr id="1" name="Chart 1"/>
        <xdr:cNvGraphicFramePr/>
      </xdr:nvGraphicFramePr>
      <xdr:xfrm>
        <a:off x="9210600" y="564480"/>
        <a:ext cx="79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0</xdr:rowOff>
    </xdr:from>
    <xdr:to>
      <xdr:col>18</xdr:col>
      <xdr:colOff>581400</xdr:colOff>
      <xdr:row>19</xdr:row>
      <xdr:rowOff>1080</xdr:rowOff>
    </xdr:to>
    <xdr:graphicFrame>
      <xdr:nvGraphicFramePr>
        <xdr:cNvPr id="2" name="Chart 2"/>
        <xdr:cNvGraphicFramePr/>
      </xdr:nvGraphicFramePr>
      <xdr:xfrm>
        <a:off x="9210600" y="419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La_Vela_Modelo_de_Negocio_v2.xlsx" TargetMode="External"/><Relationship Id="rId2" Type="http://schemas.openxmlformats.org/officeDocument/2006/relationships/hyperlink" Target="La_Vela_Modelo_de_Negocio_v2.xlsx" TargetMode="External"/><Relationship Id="rId3" Type="http://schemas.openxmlformats.org/officeDocument/2006/relationships/hyperlink" Target="La_Vela_Modelo_de_Negocio_v2.xlsx" TargetMode="External"/><Relationship Id="rId4" Type="http://schemas.openxmlformats.org/officeDocument/2006/relationships/hyperlink" Target="La_Vela_Modelo_de_Negocio_v2.xlsx" TargetMode="External"/><Relationship Id="rId5" Type="http://schemas.openxmlformats.org/officeDocument/2006/relationships/hyperlink" Target="La_Vela_Modelo_de_Negocio_v2.xlsx" TargetMode="External"/><Relationship Id="rId6" Type="http://schemas.openxmlformats.org/officeDocument/2006/relationships/hyperlink" Target="La_Vela_Modelo_de_Negocio_v2.xlsx" TargetMode="External"/><Relationship Id="rId7" Type="http://schemas.openxmlformats.org/officeDocument/2006/relationships/hyperlink" Target="La_Vela_Modelo_de_Negocio_v2.xlsx" TargetMode="External"/><Relationship Id="rId8" Type="http://schemas.openxmlformats.org/officeDocument/2006/relationships/hyperlink" Target="La_Vela_Modelo_de_Negocio_v2.xlsx" TargetMode="External"/><Relationship Id="rId9" Type="http://schemas.openxmlformats.org/officeDocument/2006/relationships/hyperlink" Target="La_Vela_Modelo_de_Negocio_v2.xlsx" TargetMode="External"/><Relationship Id="rId10" Type="http://schemas.openxmlformats.org/officeDocument/2006/relationships/hyperlink" Target="La_Vela_Modelo_de_Negocio_v2.xlsx" TargetMode="External"/><Relationship Id="rId11" Type="http://schemas.openxmlformats.org/officeDocument/2006/relationships/hyperlink" Target="La_Vela_Modelo_de_Negocio_v2.xlsx" TargetMode="External"/><Relationship Id="rId12" Type="http://schemas.openxmlformats.org/officeDocument/2006/relationships/hyperlink" Target="La_Vela_Modelo_de_Negocio_v2.xlsx" TargetMode="External"/><Relationship Id="rId13" Type="http://schemas.openxmlformats.org/officeDocument/2006/relationships/hyperlink" Target="La_Vela_Modelo_de_Negocio_v2.xlsx" TargetMode="External"/><Relationship Id="rId14" Type="http://schemas.openxmlformats.org/officeDocument/2006/relationships/hyperlink" Target="La_Vela_Modelo_de_Negocio_v2.xlsx" TargetMode="External"/><Relationship Id="rId15" Type="http://schemas.openxmlformats.org/officeDocument/2006/relationships/hyperlink" Target="La_Vela_Modelo_de_Negocio_v2.xlsx" TargetMode="External"/><Relationship Id="rId16" Type="http://schemas.openxmlformats.org/officeDocument/2006/relationships/hyperlink" Target="La_Vela_Modelo_de_Negocio_v2.xlsx" TargetMode="External"/><Relationship Id="rId17" Type="http://schemas.openxmlformats.org/officeDocument/2006/relationships/hyperlink" Target="La_Vela_Modelo_de_Negocio_v2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dolardof.com/" TargetMode="External"/><Relationship Id="rId2" Type="http://schemas.openxmlformats.org/officeDocument/2006/relationships/hyperlink" Target="https://www.chemanalyst.com/Pricing-data/paraffin-wax-1205" TargetMode="External"/><Relationship Id="rId3" Type="http://schemas.openxmlformats.org/officeDocument/2006/relationships/hyperlink" Target="https://fortia.com.mx/sueldo-beneficios-y-prestaciones/salario-minimo-en-mexico/" TargetMode="External"/><Relationship Id="rId4" Type="http://schemas.openxmlformats.org/officeDocument/2006/relationships/hyperlink" Target="https://eleventa.com/blog/calcular-ganancias-tienda-abarrotes" TargetMode="External"/><Relationship Id="rId5" Type="http://schemas.openxmlformats.org/officeDocument/2006/relationships/hyperlink" Target="https://www.solunion.mx/blog/luces-que-mueven-la-economia-el-mercado-de-veladoras-en-mexico/" TargetMode="External"/><Relationship Id="rId6" Type="http://schemas.openxmlformats.org/officeDocument/2006/relationships/hyperlink" Target="https://www.scorpion.com.mx/tienda/hogar-y-limpieza/hogar/veladoras-y-cerillos.html" TargetMode="External"/><Relationship Id="rId7" Type="http://schemas.openxmlformats.org/officeDocument/2006/relationships/hyperlink" Target="https://superlavioleta.com/collections/velas-y-veladoras" TargetMode="External"/><Relationship Id="rId8" Type="http://schemas.openxmlformats.org/officeDocument/2006/relationships/hyperlink" Target="https://alsuper.com/producto/veladora-repuesto-sin-vaso-no.21-368629" TargetMode="External"/><Relationship Id="rId9" Type="http://schemas.openxmlformats.org/officeDocument/2006/relationships/hyperlink" Target="https://merceriaalma.com.mx/ceras-botanicas-naturales/1040-cera-de-abeja-1kg.html" TargetMode="External"/><Relationship Id="rId10" Type="http://schemas.openxmlformats.org/officeDocument/2006/relationships/hyperlink" Target="https://www.wivoanalytics.com/blog/cuanto-cobra-mercado-libre-por-venta-en-2025-guia-completa-de-comisiones-envios-y-mas" TargetMode="External"/><Relationship Id="rId11" Type="http://schemas.openxmlformats.org/officeDocument/2006/relationships/hyperlink" Target="https://es.wikipedia.org/wiki/Di&#243;cesis_de_Torre&#243;n" TargetMode="External"/><Relationship Id="rId12" Type="http://schemas.openxmlformats.org/officeDocument/2006/relationships/hyperlink" Target="https://www.artesacro.org/Noticia.asp?idreg=27843" TargetMode="External"/><Relationship Id="rId13" Type="http://schemas.openxmlformats.org/officeDocument/2006/relationships/hyperlink" Target="https://enrichbodycare.com/container-candle-burning-time-te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false" outlineLevel="0" collapsed="false">
      <c r="A9" s="6" t="s">
        <v>7</v>
      </c>
      <c r="B9" s="7"/>
    </row>
    <row r="10" customFormat="false" ht="15" hidden="false" customHeight="true" outlineLevel="0" collapsed="false">
      <c r="A10" s="8"/>
      <c r="B10" s="7"/>
    </row>
    <row r="11" customFormat="false" ht="15" hidden="false" customHeight="true" outlineLevel="0" collapsed="false">
      <c r="A11" s="9" t="s">
        <v>8</v>
      </c>
      <c r="B11" s="10"/>
    </row>
    <row r="12" customFormat="false" ht="15" hidden="false" customHeight="true" outlineLevel="0" collapsed="false">
      <c r="A12" s="11" t="s">
        <v>9</v>
      </c>
      <c r="B12" s="10" t="s">
        <v>10</v>
      </c>
    </row>
    <row r="13" customFormat="false" ht="15" hidden="false" customHeight="true" outlineLevel="0" collapsed="false">
      <c r="A13" s="12" t="s">
        <v>11</v>
      </c>
      <c r="B13" s="10" t="s">
        <v>12</v>
      </c>
    </row>
    <row r="14" customFormat="false" ht="15" hidden="false" customHeight="true" outlineLevel="0" collapsed="false">
      <c r="A14" s="13" t="s">
        <v>13</v>
      </c>
      <c r="B14" s="10" t="s">
        <v>14</v>
      </c>
    </row>
    <row r="15" customFormat="false" ht="15" hidden="false" customHeight="false" outlineLevel="0" collapsed="false">
      <c r="A15" s="6" t="s">
        <v>15</v>
      </c>
      <c r="B15" s="6" t="s">
        <v>16</v>
      </c>
    </row>
    <row r="16" customFormat="false" ht="15" hidden="false" customHeight="true" outlineLevel="0" collapsed="false">
      <c r="A16" s="8"/>
      <c r="B16" s="7"/>
    </row>
    <row r="17" customFormat="false" ht="15" hidden="false" customHeight="true" outlineLevel="0" collapsed="false">
      <c r="A17" s="9" t="s">
        <v>17</v>
      </c>
      <c r="B17" s="10"/>
    </row>
    <row r="18" customFormat="false" ht="15" hidden="false" customHeight="true" outlineLevel="0" collapsed="false">
      <c r="A18" s="14" t="s">
        <v>18</v>
      </c>
      <c r="B18" s="10" t="s">
        <v>19</v>
      </c>
    </row>
    <row r="19" customFormat="false" ht="15" hidden="false" customHeight="true" outlineLevel="0" collapsed="false">
      <c r="A19" s="14" t="s">
        <v>20</v>
      </c>
      <c r="B19" s="10" t="s">
        <v>21</v>
      </c>
    </row>
    <row r="20" customFormat="false" ht="15" hidden="false" customHeight="true" outlineLevel="0" collapsed="false">
      <c r="A20" s="14" t="s">
        <v>22</v>
      </c>
      <c r="B20" s="10" t="s">
        <v>23</v>
      </c>
    </row>
    <row r="21" customFormat="false" ht="15" hidden="false" customHeight="true" outlineLevel="0" collapsed="false">
      <c r="A21" s="14" t="s">
        <v>24</v>
      </c>
      <c r="B21" s="10" t="s">
        <v>25</v>
      </c>
    </row>
    <row r="22" customFormat="false" ht="15" hidden="false" customHeight="true" outlineLevel="0" collapsed="false">
      <c r="A22" s="14" t="s">
        <v>26</v>
      </c>
      <c r="B22" s="10" t="s">
        <v>27</v>
      </c>
    </row>
    <row r="23" customFormat="false" ht="15" hidden="false" customHeight="true" outlineLevel="0" collapsed="false">
      <c r="A23" s="14" t="s">
        <v>28</v>
      </c>
      <c r="B23" s="10" t="s">
        <v>29</v>
      </c>
    </row>
    <row r="24" customFormat="false" ht="15" hidden="false" customHeight="true" outlineLevel="0" collapsed="false">
      <c r="A24" s="14" t="s">
        <v>30</v>
      </c>
      <c r="B24" s="10" t="s">
        <v>31</v>
      </c>
    </row>
    <row r="25" customFormat="false" ht="15" hidden="false" customHeight="true" outlineLevel="0" collapsed="false">
      <c r="A25" s="14" t="s">
        <v>32</v>
      </c>
      <c r="B25" s="10" t="s">
        <v>33</v>
      </c>
    </row>
    <row r="26" customFormat="false" ht="15" hidden="false" customHeight="true" outlineLevel="0" collapsed="false">
      <c r="A26" s="14" t="s">
        <v>34</v>
      </c>
      <c r="B26" s="10" t="s">
        <v>35</v>
      </c>
    </row>
    <row r="27" customFormat="false" ht="15" hidden="false" customHeight="true" outlineLevel="0" collapsed="false">
      <c r="A27" s="14" t="s">
        <v>36</v>
      </c>
      <c r="B27" s="10" t="s">
        <v>37</v>
      </c>
    </row>
    <row r="28" customFormat="false" ht="15" hidden="false" customHeight="true" outlineLevel="0" collapsed="false">
      <c r="A28" s="14" t="s">
        <v>38</v>
      </c>
      <c r="B28" s="10" t="s">
        <v>39</v>
      </c>
    </row>
    <row r="29" customFormat="false" ht="15" hidden="false" customHeight="true" outlineLevel="0" collapsed="false">
      <c r="A29" s="14" t="s">
        <v>40</v>
      </c>
      <c r="B29" s="10" t="s">
        <v>41</v>
      </c>
    </row>
    <row r="30" customFormat="false" ht="15" hidden="false" customHeight="true" outlineLevel="0" collapsed="false">
      <c r="A30" s="14" t="s">
        <v>42</v>
      </c>
      <c r="B30" s="10" t="s">
        <v>43</v>
      </c>
    </row>
    <row r="31" customFormat="false" ht="15" hidden="false" customHeight="true" outlineLevel="0" collapsed="false">
      <c r="A31" s="14" t="s">
        <v>44</v>
      </c>
      <c r="B31" s="10" t="s">
        <v>45</v>
      </c>
    </row>
    <row r="32" customFormat="false" ht="15" hidden="false" customHeight="false" outlineLevel="0" collapsed="false">
      <c r="A32" s="15" t="s">
        <v>46</v>
      </c>
      <c r="B32" s="6" t="s">
        <v>47</v>
      </c>
    </row>
    <row r="33" customFormat="false" ht="15" hidden="false" customHeight="false" outlineLevel="0" collapsed="false">
      <c r="A33" s="15" t="s">
        <v>48</v>
      </c>
      <c r="B33" s="6" t="s">
        <v>49</v>
      </c>
    </row>
    <row r="34" customFormat="false" ht="15" hidden="false" customHeight="false" outlineLevel="0" collapsed="false">
      <c r="A34" s="15" t="s">
        <v>50</v>
      </c>
      <c r="B34" s="6" t="s">
        <v>51</v>
      </c>
    </row>
    <row r="35" customFormat="false" ht="15" hidden="false" customHeight="false" outlineLevel="0" collapsed="false">
      <c r="A35" s="7"/>
      <c r="B35" s="7"/>
    </row>
    <row r="36" customFormat="false" ht="15" hidden="false" customHeight="false" outlineLevel="0" collapsed="false">
      <c r="A36" s="16" t="s">
        <v>52</v>
      </c>
      <c r="B36" s="7"/>
    </row>
    <row r="37" customFormat="false" ht="15" hidden="false" customHeight="false" outlineLevel="0" collapsed="false">
      <c r="A37" s="16" t="s">
        <v>53</v>
      </c>
      <c r="B37" s="7"/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7"/>
      <c r="B39" s="7"/>
    </row>
  </sheetData>
  <hyperlinks>
    <hyperlink ref="A18" r:id="rId1" location="'Resumen'!A1" display="Resumen"/>
    <hyperlink ref="A19" r:id="rId2" location="'Supuestos'!A1" display="Supuestos"/>
    <hyperlink ref="A20" r:id="rId3" location="'Costeo'!A1" display="Costeo"/>
    <hyperlink ref="A21" r:id="rId4" location="'Cartucho'!A1" display="Cartucho"/>
    <hyperlink ref="A22" r:id="rId5" location="'Cascada'!A1" display="Cascada"/>
    <hyperlink ref="A23" r:id="rId6" location="'Todos_ganan'!A1" display="Todos_ganan"/>
    <hyperlink ref="A24" r:id="rId7" location="'Distribuidor'!A1" display="Distribuidor"/>
    <hyperlink ref="A25" r:id="rId8" location="'Volumen'!A1" display="Volumen"/>
    <hyperlink ref="A26" r:id="rId9" location="'Resultados'!A1" display="Resultados"/>
    <hyperlink ref="A27" r:id="rId10" location="'Flujo'!A1" display="Flujo"/>
    <hyperlink ref="A28" r:id="rId11" location="'Capex_Capacidad'!A1" display="Capex_Capacidad"/>
    <hyperlink ref="A29" r:id="rId12" location="'Palancas'!A1" display="Palancas"/>
    <hyperlink ref="A30" r:id="rId13" location="'Sensibilidad'!A1" display="Sensibilidad"/>
    <hyperlink ref="A31" r:id="rId14" location="'Competencia'!A1" display="Competencia"/>
    <hyperlink ref="A32" r:id="rId15" location="'Prueba_encendido'!A1" display="Prueba_encendido"/>
    <hyperlink ref="A33" r:id="rId16" location="'Riesgos'!A1" display="Riesgos"/>
    <hyperlink ref="A34" r:id="rId17" location="'Fuentes'!A1" display="Fue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6"/>
  </cols>
  <sheetData>
    <row r="1" customFormat="false" ht="18" hidden="false" customHeight="true" outlineLevel="0" collapsed="false">
      <c r="A1" s="2" t="s">
        <v>54</v>
      </c>
    </row>
    <row r="2" customFormat="false" ht="15" hidden="false" customHeight="true" outlineLevel="0" collapsed="false">
      <c r="A2" s="4" t="str">
        <f aca="false">"Escenario activo: "&amp;IF(sel_costos=1,"Base (lo que platicamos)","Optimizado")&amp;" · Volumen: "&amp;CHOOSE(sel_vol,"Conservador","Medio","Alto")</f>
        <v>Escenario activo: Optimizado · Volumen: Medio</v>
      </c>
    </row>
    <row r="4" customFormat="false" ht="15" hidden="false" customHeight="true" outlineLevel="0" collapsed="false">
      <c r="A4" s="17" t="s">
        <v>55</v>
      </c>
      <c r="B4" s="18" t="s">
        <v>56</v>
      </c>
      <c r="C4" s="18" t="s">
        <v>57</v>
      </c>
      <c r="D4" s="18" t="s">
        <v>58</v>
      </c>
    </row>
    <row r="5" customFormat="false" ht="15" hidden="false" customHeight="true" outlineLevel="0" collapsed="false">
      <c r="A5" s="5" t="s">
        <v>59</v>
      </c>
      <c r="B5" s="19" t="n">
        <f aca="false">Resultados!AM20</f>
        <v>5217946.73280985</v>
      </c>
      <c r="C5" s="19" t="n">
        <f aca="false">Resultados!AN20</f>
        <v>8243815.74801798</v>
      </c>
      <c r="D5" s="19" t="n">
        <f aca="false">Resultados!AO20</f>
        <v>8853273.40582471</v>
      </c>
    </row>
    <row r="6" customFormat="false" ht="15" hidden="false" customHeight="true" outlineLevel="0" collapsed="false">
      <c r="A6" s="5" t="s">
        <v>60</v>
      </c>
      <c r="B6" s="19" t="n">
        <f aca="false">Resultados!AM32</f>
        <v>2044748.29358306</v>
      </c>
      <c r="C6" s="19" t="n">
        <f aca="false">Resultados!AN32</f>
        <v>3138264.26467777</v>
      </c>
      <c r="D6" s="19" t="n">
        <f aca="false">Resultados!AO32</f>
        <v>3316068.3064449</v>
      </c>
    </row>
    <row r="7" customFormat="false" ht="15" hidden="false" customHeight="true" outlineLevel="0" collapsed="false">
      <c r="A7" s="5" t="s">
        <v>61</v>
      </c>
      <c r="B7" s="20" t="n">
        <f aca="false">Resultados!AM33</f>
        <v>0.391868372424333</v>
      </c>
      <c r="C7" s="20" t="n">
        <f aca="false">Resultados!AN33</f>
        <v>0.380681029344</v>
      </c>
      <c r="D7" s="20" t="n">
        <f aca="false">Resultados!AO33</f>
        <v>0.374558443463771</v>
      </c>
    </row>
    <row r="8" customFormat="false" ht="15" hidden="false" customHeight="true" outlineLevel="0" collapsed="false">
      <c r="A8" s="5" t="s">
        <v>62</v>
      </c>
      <c r="B8" s="19" t="n">
        <f aca="false">Resultados!AM46</f>
        <v>1322202.7995037</v>
      </c>
      <c r="C8" s="19" t="n">
        <f aca="false">Resultados!AN46</f>
        <v>2298151.95017396</v>
      </c>
      <c r="D8" s="19" t="n">
        <f aca="false">Resultados!AO46</f>
        <v>2449576.84095746</v>
      </c>
    </row>
    <row r="9" customFormat="false" ht="15" hidden="false" customHeight="true" outlineLevel="0" collapsed="false">
      <c r="A9" s="21" t="s">
        <v>63</v>
      </c>
      <c r="B9" s="19" t="n">
        <f aca="false">Resultados!AM63</f>
        <v>-44797.2004963043</v>
      </c>
      <c r="C9" s="19" t="n">
        <f aca="false">Resultados!AN63</f>
        <v>987151.950173964</v>
      </c>
      <c r="D9" s="19" t="n">
        <f aca="false">Resultados!AO63</f>
        <v>1138576.84095746</v>
      </c>
    </row>
    <row r="10" customFormat="false" ht="15" hidden="false" customHeight="true" outlineLevel="0" collapsed="false">
      <c r="A10" s="5" t="s">
        <v>64</v>
      </c>
      <c r="B10" s="20" t="n">
        <f aca="false">Resultados!AM64</f>
        <v>-0.00858521613772418</v>
      </c>
      <c r="C10" s="20" t="n">
        <f aca="false">Resultados!AN64</f>
        <v>0.119744543103271</v>
      </c>
      <c r="D10" s="20" t="n">
        <f aca="false">Resultados!AO64</f>
        <v>0.128605182373378</v>
      </c>
    </row>
    <row r="11" customFormat="false" ht="15" hidden="false" customHeight="true" outlineLevel="0" collapsed="false">
      <c r="A11" s="21" t="s">
        <v>65</v>
      </c>
      <c r="B11" s="19" t="n">
        <f aca="false">Resultados!AM70</f>
        <v>-50222.2004963043</v>
      </c>
      <c r="C11" s="19" t="n">
        <f aca="false">Resultados!AN70</f>
        <v>609125.0503029</v>
      </c>
      <c r="D11" s="19" t="n">
        <f aca="false">Resultados!AO70</f>
        <v>683146.104574478</v>
      </c>
    </row>
    <row r="12" customFormat="false" ht="15" hidden="false" customHeight="true" outlineLevel="0" collapsed="false">
      <c r="A12" s="5" t="s">
        <v>66</v>
      </c>
      <c r="B12" s="22" t="n">
        <f aca="false">SUMIF(Volumen!$C$6:$AL$6,1,Volumen!$C$43:$AL$43)</f>
        <v>144686.549464286</v>
      </c>
      <c r="C12" s="22" t="n">
        <f aca="false">SUMIF(Volumen!$C$6:$AL$6,2,Volumen!$C$43:$AL$43)</f>
        <v>237215.061428571</v>
      </c>
      <c r="D12" s="22" t="n">
        <f aca="false">SUMIF(Volumen!$C$6:$AL$6,3,Volumen!$C$43:$AL$43)</f>
        <v>260077.461428572</v>
      </c>
    </row>
    <row r="13" customFormat="false" ht="15" hidden="false" customHeight="true" outlineLevel="0" collapsed="false">
      <c r="A13" s="5" t="s">
        <v>67</v>
      </c>
      <c r="B13" s="22" t="n">
        <f aca="false">Volumen!N11</f>
        <v>500</v>
      </c>
      <c r="C13" s="22" t="n">
        <f aca="false">Volumen!Z11</f>
        <v>500</v>
      </c>
      <c r="D13" s="22" t="n">
        <f aca="false">Volumen!AL11</f>
        <v>500</v>
      </c>
    </row>
    <row r="15" customFormat="false" ht="15" hidden="false" customHeight="true" outlineLevel="0" collapsed="false">
      <c r="A15" s="17" t="s">
        <v>68</v>
      </c>
      <c r="B15" s="18" t="s">
        <v>69</v>
      </c>
      <c r="C15" s="18"/>
      <c r="D15" s="18"/>
    </row>
    <row r="16" customFormat="false" ht="15" hidden="false" customHeight="true" outlineLevel="0" collapsed="false">
      <c r="A16" s="5" t="s">
        <v>70</v>
      </c>
      <c r="B16" s="23" t="n">
        <f aca="false">capital_max</f>
        <v>762969.429562666</v>
      </c>
    </row>
    <row r="17" customFormat="false" ht="15" hidden="false" customHeight="true" outlineLevel="0" collapsed="false">
      <c r="A17" s="5" t="s">
        <v>71</v>
      </c>
      <c r="B17" s="24" t="n">
        <f aca="false">mes_recup</f>
        <v>19</v>
      </c>
    </row>
    <row r="18" customFormat="false" ht="15" hidden="false" customHeight="true" outlineLevel="0" collapsed="false">
      <c r="A18" s="5" t="s">
        <v>72</v>
      </c>
      <c r="B18" s="23" t="n">
        <f aca="false">flujo_36</f>
        <v>498793.2967236</v>
      </c>
    </row>
    <row r="19" customFormat="false" ht="15" hidden="false" customHeight="true" outlineLevel="0" collapsed="false">
      <c r="A19" s="5" t="s">
        <v>73</v>
      </c>
      <c r="B19" s="23" t="n">
        <f aca="false">capex_n1+IF(mes_planta&lt;=meses_horizonte,capex_n2,0)</f>
        <v>10850</v>
      </c>
    </row>
    <row r="20" customFormat="false" ht="15" hidden="false" customHeight="true" outlineLevel="0" collapsed="false">
      <c r="A20" s="5" t="s">
        <v>74</v>
      </c>
      <c r="B20" s="24" t="n">
        <f aca="false">IF(contrib_pieza&lt;=0,"Cada pieza pierde: no hay equilibrio",IFERROR(MAX(0,fijos_mes_y2-(Resultados!AN46/12-B21*contrib_pieza))/contrib_pieza,0))</f>
        <v>5540.74847016852</v>
      </c>
    </row>
    <row r="21" customFormat="false" ht="15" hidden="false" customHeight="true" outlineLevel="0" collapsed="false">
      <c r="A21" s="5" t="s">
        <v>75</v>
      </c>
      <c r="B21" s="24" t="n">
        <f aca="false">SUMIF(Volumen!$C$6:$AL$6,2,Volumen!$C$16:$AL$16)/12</f>
        <v>19052</v>
      </c>
    </row>
    <row r="22" customFormat="false" ht="15" hidden="false" customHeight="true" outlineLevel="0" collapsed="false">
      <c r="A22" s="5" t="s">
        <v>76</v>
      </c>
      <c r="B22" s="25" t="n">
        <f aca="false">IF(ISNUMBER(B20),IFERROR(1-B20/B21,0),"-")</f>
        <v>0.709177594469425</v>
      </c>
    </row>
    <row r="23" customFormat="false" ht="15" hidden="false" customHeight="true" outlineLevel="0" collapsed="false">
      <c r="A23" s="5" t="s">
        <v>77</v>
      </c>
      <c r="B23" s="24" t="str">
        <f aca="false">mes_n3</f>
        <v>No rebasa en 36 meses</v>
      </c>
    </row>
    <row r="24" customFormat="false" ht="15" hidden="false" customHeight="true" outlineLevel="0" collapsed="false">
      <c r="A24" s="5" t="s">
        <v>78</v>
      </c>
      <c r="B24" s="24" t="n">
        <f aca="false">pe_planta</f>
        <v>47377.2666838758</v>
      </c>
    </row>
    <row r="26" customFormat="false" ht="15" hidden="false" customHeight="true" outlineLevel="0" collapsed="false">
      <c r="A26" s="17" t="s">
        <v>79</v>
      </c>
      <c r="B26" s="18" t="s">
        <v>80</v>
      </c>
      <c r="C26" s="18" t="s">
        <v>81</v>
      </c>
      <c r="D26" s="18" t="s">
        <v>82</v>
      </c>
      <c r="E26" s="18" t="s">
        <v>83</v>
      </c>
    </row>
    <row r="27" customFormat="false" ht="15" hidden="false" customHeight="true" outlineLevel="0" collapsed="false">
      <c r="A27" s="5" t="s">
        <v>84</v>
      </c>
      <c r="B27" s="26" t="n">
        <f aca="false">Cascada!B5</f>
        <v>49</v>
      </c>
      <c r="C27" s="26" t="n">
        <f aca="false">Cascada!C5</f>
        <v>34</v>
      </c>
      <c r="D27" s="26" t="n">
        <f aca="false">Cascada!D5</f>
        <v>65</v>
      </c>
      <c r="E27" s="26" t="n">
        <f aca="false">Cascada!E5</f>
        <v>99</v>
      </c>
    </row>
    <row r="28" customFormat="false" ht="15" hidden="false" customHeight="true" outlineLevel="0" collapsed="false">
      <c r="A28" s="5" t="s">
        <v>85</v>
      </c>
      <c r="B28" s="26" t="n">
        <f aca="false">Cascada!B9</f>
        <v>13.23</v>
      </c>
      <c r="C28" s="26" t="n">
        <f aca="false">Cascada!C9</f>
        <v>9.18</v>
      </c>
      <c r="D28" s="26" t="n">
        <f aca="false">Cascada!D9</f>
        <v>17.55</v>
      </c>
      <c r="E28" s="26" t="n">
        <f aca="false">Cascada!E9</f>
        <v>26.73</v>
      </c>
    </row>
    <row r="29" customFormat="false" ht="15" hidden="false" customHeight="true" outlineLevel="0" collapsed="false">
      <c r="A29" s="5" t="s">
        <v>86</v>
      </c>
      <c r="B29" s="26" t="n">
        <f aca="false">Cascada!B11</f>
        <v>6.0809</v>
      </c>
      <c r="C29" s="26" t="n">
        <f aca="false">Cascada!C11</f>
        <v>4.2194</v>
      </c>
      <c r="D29" s="26" t="n">
        <f aca="false">Cascada!D11</f>
        <v>8.0665</v>
      </c>
      <c r="E29" s="26" t="n">
        <f aca="false">Cascada!E11</f>
        <v>12.2859</v>
      </c>
    </row>
    <row r="30" customFormat="false" ht="15" hidden="false" customHeight="true" outlineLevel="0" collapsed="false">
      <c r="A30" s="21" t="s">
        <v>87</v>
      </c>
      <c r="B30" s="26" t="n">
        <f aca="false">Cascada!B14</f>
        <v>5.42886661105517</v>
      </c>
      <c r="C30" s="26" t="n">
        <f aca="false">Cascada!C14</f>
        <v>2.98437504017395</v>
      </c>
      <c r="D30" s="26" t="n">
        <f aca="false">Cascada!D14</f>
        <v>12.5681079903655</v>
      </c>
      <c r="E30" s="26" t="n">
        <f aca="false">Cascada!E14</f>
        <v>26.4702459214</v>
      </c>
    </row>
    <row r="31" customFormat="false" ht="15" hidden="false" customHeight="true" outlineLevel="0" collapsed="false">
      <c r="A31" s="5" t="s">
        <v>88</v>
      </c>
      <c r="B31" s="20" t="n">
        <f aca="false">Cascada!B15</f>
        <v>0.212114387732333</v>
      </c>
      <c r="C31" s="20" t="n">
        <f aca="false">Cascada!C15</f>
        <v>0.168047292146917</v>
      </c>
      <c r="D31" s="20" t="n">
        <f aca="false">Cascada!D15</f>
        <v>0.370180539282288</v>
      </c>
      <c r="E31" s="20" t="n">
        <f aca="false">Cascada!E15</f>
        <v>0.511893739654742</v>
      </c>
    </row>
    <row r="32" customFormat="false" ht="15" hidden="false" customHeight="true" outlineLevel="0" collapsed="false">
      <c r="A32" s="5" t="s">
        <v>89</v>
      </c>
      <c r="B32" s="26" t="n">
        <f aca="false">Costeo!C32</f>
        <v>0.291666666666667</v>
      </c>
      <c r="C32" s="26" t="n">
        <f aca="false">Costeo!D32</f>
        <v>0.202380952380952</v>
      </c>
      <c r="D32" s="26" t="n">
        <f aca="false">Costeo!E32</f>
        <v>0.386904761904762</v>
      </c>
      <c r="E32" s="26" t="n">
        <f aca="false">Costeo!F32</f>
        <v>0.589285714285714</v>
      </c>
    </row>
    <row r="34" customFormat="false" ht="15" hidden="false" customHeight="true" outlineLevel="0" collapsed="false">
      <c r="A34" s="17" t="s">
        <v>90</v>
      </c>
      <c r="B34" s="18" t="s">
        <v>91</v>
      </c>
      <c r="C34" s="18" t="s">
        <v>92</v>
      </c>
      <c r="D34" s="18" t="s">
        <v>93</v>
      </c>
    </row>
    <row r="35" customFormat="false" ht="15" hidden="false" customHeight="true" outlineLevel="0" collapsed="false">
      <c r="A35" s="5" t="s">
        <v>94</v>
      </c>
      <c r="B35" s="26" t="n">
        <f aca="false">Cascada!B63</f>
        <v>-4.39520525983996</v>
      </c>
      <c r="C35" s="26" t="n">
        <f aca="false">Cascada!C63</f>
        <v>5.42886661105517</v>
      </c>
      <c r="D35" s="26" t="n">
        <f aca="false">Cascada!D63</f>
        <v>9.82407187089513</v>
      </c>
    </row>
    <row r="36" customFormat="false" ht="15" hidden="false" customHeight="true" outlineLevel="0" collapsed="false">
      <c r="A36" s="5" t="s">
        <v>95</v>
      </c>
      <c r="B36" s="26" t="n">
        <f aca="false">Cascada!B64</f>
        <v>-3.74937288436104</v>
      </c>
      <c r="C36" s="26" t="n">
        <f aca="false">Cascada!C64</f>
        <v>2.98437504017395</v>
      </c>
      <c r="D36" s="26" t="n">
        <f aca="false">Cascada!D64</f>
        <v>6.73374792453499</v>
      </c>
    </row>
    <row r="37" customFormat="false" ht="15" hidden="false" customHeight="true" outlineLevel="0" collapsed="false">
      <c r="A37" s="21" t="s">
        <v>96</v>
      </c>
      <c r="B37" s="26" t="n">
        <f aca="false">Cascada!B67</f>
        <v>-2.45062082497406</v>
      </c>
      <c r="C37" s="26" t="n">
        <f aca="false">Cascada!C67</f>
        <v>7.20902998270268</v>
      </c>
      <c r="D37" s="26" t="n">
        <f aca="false">Cascada!D67</f>
        <v>9.65965080767675</v>
      </c>
    </row>
    <row r="38" customFormat="false" ht="15" hidden="false" customHeight="true" outlineLevel="0" collapsed="false">
      <c r="A38" s="5" t="s">
        <v>97</v>
      </c>
      <c r="B38" s="20" t="n">
        <f aca="false">Cascada!B68</f>
        <v>-0.0976712279964436</v>
      </c>
      <c r="C38" s="20" t="n">
        <f aca="false">Cascada!C68</f>
        <v>0.110793196143983</v>
      </c>
      <c r="D38" s="20" t="n">
        <f aca="false">Cascada!D68</f>
        <v>0.208464424140427</v>
      </c>
    </row>
    <row r="39" customFormat="false" ht="15" hidden="false" customHeight="true" outlineLevel="0" collapsed="false">
      <c r="A39" s="5" t="s">
        <v>98</v>
      </c>
      <c r="B39" s="26" t="n">
        <f aca="false">Cascada!B58</f>
        <v>26.1193431908744</v>
      </c>
      <c r="C39" s="26" t="n">
        <f aca="false">Cascada!C58</f>
        <v>20.1651851130828</v>
      </c>
      <c r="D39" s="26" t="n">
        <f aca="false">Cascada!D58</f>
        <v>-5.95415807779168</v>
      </c>
    </row>
    <row r="40" customFormat="false" ht="15" hidden="false" customHeight="true" outlineLevel="0" collapsed="false">
      <c r="A40" s="5" t="s">
        <v>99</v>
      </c>
      <c r="B40" s="22" t="n">
        <f aca="false">Cascada!B50</f>
        <v>458.64</v>
      </c>
      <c r="C40" s="22" t="n">
        <f aca="false">Cascada!C50</f>
        <v>397.992</v>
      </c>
      <c r="D40" s="22" t="n">
        <f aca="false">Cascada!D50</f>
        <v>-60.6480000000001</v>
      </c>
    </row>
    <row r="42" customFormat="false" ht="15" hidden="false" customHeight="true" outlineLevel="0" collapsed="false">
      <c r="A42" s="17" t="s">
        <v>100</v>
      </c>
      <c r="B42" s="18" t="s">
        <v>69</v>
      </c>
      <c r="C42" s="18"/>
      <c r="D42" s="18"/>
    </row>
    <row r="43" customFormat="false" ht="15" hidden="false" customHeight="true" outlineLevel="0" collapsed="false">
      <c r="A43" s="5" t="s">
        <v>101</v>
      </c>
      <c r="B43" s="23" t="n">
        <f aca="false">tienda_mes</f>
        <v>508.0253904</v>
      </c>
    </row>
    <row r="44" customFormat="false" ht="15" hidden="false" customHeight="true" outlineLevel="0" collapsed="false">
      <c r="A44" s="5" t="s">
        <v>102</v>
      </c>
      <c r="B44" s="23" t="n">
        <f aca="false">dist_mes</f>
        <v>116751.761016</v>
      </c>
    </row>
    <row r="45" customFormat="false" ht="15" hidden="false" customHeight="true" outlineLevel="0" collapsed="false">
      <c r="A45" s="5" t="s">
        <v>103</v>
      </c>
      <c r="B45" s="23" t="n">
        <f aca="false">ebitda_mes_y2</f>
        <v>82262.662514497</v>
      </c>
    </row>
    <row r="46" customFormat="false" ht="15" hidden="false" customHeight="true" outlineLevel="0" collapsed="false">
      <c r="A46" s="5" t="s">
        <v>104</v>
      </c>
      <c r="B46" s="23" t="n">
        <f aca="false">ahorro_cliente</f>
        <v>31.8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19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70"/>
  </cols>
  <sheetData>
    <row r="1" customFormat="false" ht="18" hidden="false" customHeight="true" outlineLevel="0" collapsed="false">
      <c r="A1" s="2" t="s">
        <v>105</v>
      </c>
    </row>
    <row r="2" customFormat="false" ht="15" hidden="false" customHeight="true" outlineLevel="0" collapsed="false">
      <c r="A2" s="3" t="s">
        <v>106</v>
      </c>
    </row>
    <row r="4" customFormat="false" ht="15" hidden="false" customHeight="true" outlineLevel="0" collapsed="false">
      <c r="A4" s="17" t="s">
        <v>107</v>
      </c>
      <c r="B4" s="18" t="s">
        <v>108</v>
      </c>
      <c r="C4" s="18" t="s">
        <v>109</v>
      </c>
      <c r="D4" s="18" t="s">
        <v>91</v>
      </c>
      <c r="E4" s="18" t="s">
        <v>92</v>
      </c>
      <c r="F4" s="18" t="s">
        <v>110</v>
      </c>
      <c r="G4" s="18" t="s">
        <v>111</v>
      </c>
    </row>
    <row r="5" customFormat="false" ht="15" hidden="false" customHeight="true" outlineLevel="0" collapsed="false">
      <c r="A5" s="5" t="s">
        <v>112</v>
      </c>
      <c r="B5" s="21" t="s">
        <v>113</v>
      </c>
      <c r="C5" s="5" t="s">
        <v>114</v>
      </c>
      <c r="D5" s="27" t="n">
        <v>2</v>
      </c>
      <c r="F5" s="21" t="str">
        <f aca="false">IF(D5=1,"Base","Optimizado")</f>
        <v>Optimizado</v>
      </c>
      <c r="G5" s="3" t="s">
        <v>115</v>
      </c>
    </row>
    <row r="6" customFormat="false" ht="15" hidden="false" customHeight="true" outlineLevel="0" collapsed="false">
      <c r="A6" s="5" t="s">
        <v>116</v>
      </c>
      <c r="B6" s="21" t="s">
        <v>117</v>
      </c>
      <c r="C6" s="5" t="s">
        <v>118</v>
      </c>
      <c r="D6" s="27" t="n">
        <v>2</v>
      </c>
      <c r="F6" s="21" t="str">
        <f aca="false">CHOOSE(D6,"Conservador","Medio","Alto")</f>
        <v>Medio</v>
      </c>
      <c r="G6" s="3" t="s">
        <v>119</v>
      </c>
    </row>
    <row r="8" customFormat="false" ht="15" hidden="false" customHeight="true" outlineLevel="0" collapsed="false">
      <c r="A8" s="28" t="s">
        <v>120</v>
      </c>
      <c r="B8" s="29"/>
      <c r="C8" s="29"/>
      <c r="D8" s="29"/>
      <c r="E8" s="29"/>
      <c r="F8" s="29"/>
      <c r="G8" s="29"/>
    </row>
    <row r="9" customFormat="false" ht="15" hidden="false" customHeight="true" outlineLevel="0" collapsed="false">
      <c r="A9" s="3" t="s">
        <v>121</v>
      </c>
      <c r="B9" s="5" t="s">
        <v>122</v>
      </c>
      <c r="C9" s="3" t="s">
        <v>123</v>
      </c>
      <c r="D9" s="30" t="n">
        <v>18.37</v>
      </c>
      <c r="E9" s="30" t="n">
        <v>18.37</v>
      </c>
      <c r="F9" s="31" t="n">
        <f aca="false">IF(sel_costos=1,D9,E9)</f>
        <v>18.37</v>
      </c>
      <c r="G9" s="3" t="s">
        <v>124</v>
      </c>
    </row>
    <row r="10" customFormat="false" ht="15" hidden="false" customHeight="true" outlineLevel="0" collapsed="false">
      <c r="A10" s="3" t="s">
        <v>125</v>
      </c>
      <c r="B10" s="5" t="s">
        <v>126</v>
      </c>
      <c r="C10" s="3" t="s">
        <v>127</v>
      </c>
      <c r="D10" s="32" t="n">
        <v>0.16</v>
      </c>
      <c r="E10" s="32" t="n">
        <v>0.16</v>
      </c>
      <c r="F10" s="25" t="n">
        <f aca="false">IF(sel_costos=1,D10,E10)</f>
        <v>0.16</v>
      </c>
      <c r="G10" s="3" t="s">
        <v>128</v>
      </c>
    </row>
    <row r="11" customFormat="false" ht="15" hidden="false" customHeight="true" outlineLevel="0" collapsed="false">
      <c r="A11" s="3" t="s">
        <v>129</v>
      </c>
      <c r="B11" s="5" t="s">
        <v>130</v>
      </c>
      <c r="C11" s="3" t="s">
        <v>127</v>
      </c>
      <c r="D11" s="32" t="n">
        <v>0.3</v>
      </c>
      <c r="E11" s="32" t="n">
        <v>0.3</v>
      </c>
      <c r="F11" s="25" t="n">
        <f aca="false">IF(sel_costos=1,D11,E11)</f>
        <v>0.3</v>
      </c>
      <c r="G11" s="3" t="s">
        <v>131</v>
      </c>
    </row>
    <row r="12" customFormat="false" ht="15" hidden="false" customHeight="true" outlineLevel="0" collapsed="false">
      <c r="A12" s="3" t="s">
        <v>132</v>
      </c>
      <c r="B12" s="5" t="s">
        <v>133</v>
      </c>
      <c r="C12" s="3" t="s">
        <v>127</v>
      </c>
      <c r="D12" s="32" t="n">
        <v>0.1</v>
      </c>
      <c r="E12" s="32" t="n">
        <v>0.1</v>
      </c>
      <c r="F12" s="25" t="n">
        <f aca="false">IF(sel_costos=1,D12,E12)</f>
        <v>0.1</v>
      </c>
      <c r="G12" s="3" t="s">
        <v>134</v>
      </c>
    </row>
    <row r="13" customFormat="false" ht="15" hidden="false" customHeight="true" outlineLevel="0" collapsed="false">
      <c r="A13" s="3" t="s">
        <v>135</v>
      </c>
      <c r="B13" s="5" t="s">
        <v>136</v>
      </c>
      <c r="C13" s="3" t="s">
        <v>137</v>
      </c>
      <c r="D13" s="33" t="n">
        <v>46327</v>
      </c>
      <c r="E13" s="33" t="n">
        <v>46327</v>
      </c>
      <c r="F13" s="34" t="n">
        <f aca="false">IF(sel_costos=1,D13,E13)</f>
        <v>46327</v>
      </c>
      <c r="G13" s="3" t="s">
        <v>138</v>
      </c>
    </row>
    <row r="14" customFormat="false" ht="15" hidden="false" customHeight="true" outlineLevel="0" collapsed="false">
      <c r="A14" s="3" t="s">
        <v>139</v>
      </c>
      <c r="B14" s="5" t="s">
        <v>140</v>
      </c>
      <c r="C14" s="3" t="s">
        <v>141</v>
      </c>
      <c r="D14" s="30" t="n">
        <v>4.33</v>
      </c>
      <c r="E14" s="30" t="n">
        <v>4.33</v>
      </c>
      <c r="F14" s="31" t="n">
        <f aca="false">IF(sel_costos=1,D14,E14)</f>
        <v>4.33</v>
      </c>
      <c r="G14" s="3" t="s">
        <v>142</v>
      </c>
    </row>
    <row r="15" customFormat="false" ht="15" hidden="false" customHeight="true" outlineLevel="0" collapsed="false">
      <c r="A15" s="3" t="s">
        <v>143</v>
      </c>
      <c r="B15" s="5" t="s">
        <v>144</v>
      </c>
      <c r="C15" s="3" t="s">
        <v>145</v>
      </c>
      <c r="D15" s="35" t="n">
        <v>24</v>
      </c>
      <c r="E15" s="35" t="n">
        <v>24</v>
      </c>
      <c r="F15" s="24" t="n">
        <f aca="false">IF(sel_costos=1,D15,E15)</f>
        <v>24</v>
      </c>
      <c r="G15" s="3" t="s">
        <v>146</v>
      </c>
    </row>
    <row r="16" customFormat="false" ht="15" hidden="false" customHeight="true" outlineLevel="0" collapsed="false">
      <c r="A16" s="3" t="s">
        <v>147</v>
      </c>
      <c r="B16" s="5" t="s">
        <v>148</v>
      </c>
      <c r="C16" s="3" t="s">
        <v>149</v>
      </c>
      <c r="D16" s="35" t="n">
        <v>36</v>
      </c>
      <c r="E16" s="35" t="n">
        <v>36</v>
      </c>
      <c r="F16" s="24" t="n">
        <f aca="false">IF(sel_costos=1,D16,E16)</f>
        <v>36</v>
      </c>
      <c r="G16" s="3" t="s">
        <v>150</v>
      </c>
    </row>
    <row r="17" customFormat="false" ht="15" hidden="false" customHeight="true" outlineLevel="0" collapsed="false">
      <c r="A17" s="3" t="s">
        <v>151</v>
      </c>
      <c r="B17" s="5" t="s">
        <v>152</v>
      </c>
      <c r="C17" s="3" t="s">
        <v>127</v>
      </c>
      <c r="D17" s="32" t="n">
        <v>0.225</v>
      </c>
      <c r="E17" s="32" t="n">
        <v>0.225</v>
      </c>
      <c r="F17" s="25" t="n">
        <f aca="false">IF(sel_costos=1,D17,E17)</f>
        <v>0.225</v>
      </c>
      <c r="G17" s="3" t="s">
        <v>153</v>
      </c>
    </row>
    <row r="18" customFormat="false" ht="15" hidden="false" customHeight="true" outlineLevel="0" collapsed="false">
      <c r="A18" s="28" t="s">
        <v>154</v>
      </c>
      <c r="B18" s="29"/>
      <c r="C18" s="29"/>
      <c r="D18" s="29"/>
      <c r="E18" s="29"/>
      <c r="F18" s="29"/>
      <c r="G18" s="29"/>
    </row>
    <row r="19" customFormat="false" ht="15" hidden="false" customHeight="true" outlineLevel="0" collapsed="false">
      <c r="A19" s="3" t="s">
        <v>155</v>
      </c>
      <c r="B19" s="5" t="s">
        <v>156</v>
      </c>
      <c r="C19" s="3" t="s">
        <v>157</v>
      </c>
      <c r="D19" s="36" t="n">
        <v>45</v>
      </c>
      <c r="E19" s="36" t="n">
        <v>49</v>
      </c>
      <c r="F19" s="37" t="n">
        <f aca="false">IF(sel_costos=1,D19,E19)</f>
        <v>49</v>
      </c>
      <c r="G19" s="3" t="s">
        <v>158</v>
      </c>
    </row>
    <row r="20" customFormat="false" ht="15" hidden="false" customHeight="true" outlineLevel="0" collapsed="false">
      <c r="A20" s="3" t="s">
        <v>159</v>
      </c>
      <c r="B20" s="5" t="s">
        <v>160</v>
      </c>
      <c r="C20" s="3" t="s">
        <v>157</v>
      </c>
      <c r="D20" s="36" t="n">
        <v>32</v>
      </c>
      <c r="E20" s="36" t="n">
        <v>34</v>
      </c>
      <c r="F20" s="37" t="n">
        <f aca="false">IF(sel_costos=1,D20,E20)</f>
        <v>34</v>
      </c>
      <c r="G20" s="3" t="s">
        <v>161</v>
      </c>
    </row>
    <row r="21" customFormat="false" ht="15" hidden="false" customHeight="true" outlineLevel="0" collapsed="false">
      <c r="A21" s="3" t="s">
        <v>162</v>
      </c>
      <c r="B21" s="5" t="s">
        <v>163</v>
      </c>
      <c r="C21" s="3" t="s">
        <v>157</v>
      </c>
      <c r="D21" s="38" t="n">
        <v>59</v>
      </c>
      <c r="E21" s="38" t="n">
        <v>65</v>
      </c>
      <c r="F21" s="37" t="n">
        <f aca="false">IF(sel_costos=1,D21,E21)</f>
        <v>65</v>
      </c>
      <c r="G21" s="3" t="s">
        <v>164</v>
      </c>
    </row>
    <row r="22" customFormat="false" ht="15" hidden="false" customHeight="true" outlineLevel="0" collapsed="false">
      <c r="A22" s="3" t="s">
        <v>165</v>
      </c>
      <c r="B22" s="5" t="s">
        <v>166</v>
      </c>
      <c r="C22" s="3" t="s">
        <v>157</v>
      </c>
      <c r="D22" s="38" t="n">
        <v>89</v>
      </c>
      <c r="E22" s="38" t="n">
        <v>99</v>
      </c>
      <c r="F22" s="37" t="n">
        <f aca="false">IF(sel_costos=1,D22,E22)</f>
        <v>99</v>
      </c>
      <c r="G22" s="3" t="s">
        <v>167</v>
      </c>
    </row>
    <row r="23" customFormat="false" ht="15" hidden="false" customHeight="true" outlineLevel="0" collapsed="false">
      <c r="A23" s="3" t="s">
        <v>168</v>
      </c>
      <c r="B23" s="5" t="s">
        <v>169</v>
      </c>
      <c r="C23" s="3" t="s">
        <v>157</v>
      </c>
      <c r="D23" s="38" t="n">
        <v>229</v>
      </c>
      <c r="E23" s="38" t="n">
        <v>249</v>
      </c>
      <c r="F23" s="37" t="n">
        <f aca="false">IF(sel_costos=1,D23,E23)</f>
        <v>249</v>
      </c>
      <c r="G23" s="3" t="s">
        <v>170</v>
      </c>
    </row>
    <row r="24" customFormat="false" ht="15" hidden="false" customHeight="true" outlineLevel="0" collapsed="false">
      <c r="A24" s="3" t="s">
        <v>171</v>
      </c>
      <c r="B24" s="5" t="s">
        <v>172</v>
      </c>
      <c r="C24" s="3" t="s">
        <v>157</v>
      </c>
      <c r="D24" s="38" t="n">
        <v>40</v>
      </c>
      <c r="E24" s="38" t="n">
        <v>42</v>
      </c>
      <c r="F24" s="37" t="n">
        <f aca="false">IF(sel_costos=1,D24,E24)</f>
        <v>42</v>
      </c>
      <c r="G24" s="3" t="s">
        <v>173</v>
      </c>
    </row>
    <row r="25" customFormat="false" ht="15" hidden="false" customHeight="true" outlineLevel="0" collapsed="false">
      <c r="A25" s="3" t="s">
        <v>174</v>
      </c>
      <c r="B25" s="5" t="s">
        <v>175</v>
      </c>
      <c r="C25" s="3" t="s">
        <v>157</v>
      </c>
      <c r="D25" s="38" t="n">
        <v>38</v>
      </c>
      <c r="E25" s="38" t="n">
        <v>40</v>
      </c>
      <c r="F25" s="37" t="n">
        <f aca="false">IF(sel_costos=1,D25,E25)</f>
        <v>40</v>
      </c>
      <c r="G25" s="3" t="s">
        <v>176</v>
      </c>
    </row>
    <row r="26" customFormat="false" ht="15" hidden="false" customHeight="true" outlineLevel="0" collapsed="false">
      <c r="A26" s="3" t="s">
        <v>177</v>
      </c>
      <c r="B26" s="5" t="s">
        <v>178</v>
      </c>
      <c r="C26" s="3" t="s">
        <v>157</v>
      </c>
      <c r="D26" s="39" t="n">
        <v>790</v>
      </c>
      <c r="E26" s="39" t="n">
        <v>850</v>
      </c>
      <c r="F26" s="23" t="n">
        <f aca="false">IF(sel_costos=1,D26,E26)</f>
        <v>850</v>
      </c>
      <c r="G26" s="3" t="s">
        <v>179</v>
      </c>
    </row>
    <row r="27" customFormat="false" ht="15" hidden="false" customHeight="true" outlineLevel="0" collapsed="false">
      <c r="A27" s="3" t="s">
        <v>180</v>
      </c>
      <c r="B27" s="5" t="s">
        <v>181</v>
      </c>
      <c r="C27" s="3" t="s">
        <v>157</v>
      </c>
      <c r="D27" s="39" t="n">
        <v>290</v>
      </c>
      <c r="E27" s="39" t="n">
        <v>320</v>
      </c>
      <c r="F27" s="23" t="n">
        <f aca="false">IF(sel_costos=1,D27,E27)</f>
        <v>320</v>
      </c>
      <c r="G27" s="40"/>
    </row>
    <row r="28" customFormat="false" ht="15" hidden="false" customHeight="true" outlineLevel="0" collapsed="false">
      <c r="A28" s="3" t="s">
        <v>182</v>
      </c>
      <c r="B28" s="5" t="s">
        <v>183</v>
      </c>
      <c r="C28" s="3" t="s">
        <v>184</v>
      </c>
      <c r="D28" s="39" t="n">
        <v>289</v>
      </c>
      <c r="E28" s="39" t="n">
        <v>329</v>
      </c>
      <c r="F28" s="23" t="n">
        <f aca="false">IF(sel_costos=1,D28,E28)</f>
        <v>329</v>
      </c>
      <c r="G28" s="3" t="s">
        <v>185</v>
      </c>
    </row>
    <row r="29" customFormat="false" ht="15" hidden="false" customHeight="true" outlineLevel="0" collapsed="false">
      <c r="A29" s="3" t="s">
        <v>186</v>
      </c>
      <c r="B29" s="5" t="s">
        <v>187</v>
      </c>
      <c r="C29" s="3" t="s">
        <v>188</v>
      </c>
      <c r="D29" s="39" t="n">
        <v>650</v>
      </c>
      <c r="E29" s="39" t="n">
        <v>750</v>
      </c>
      <c r="F29" s="23" t="n">
        <f aca="false">IF(sel_costos=1,D29,E29)</f>
        <v>750</v>
      </c>
      <c r="G29" s="40"/>
    </row>
    <row r="30" customFormat="false" ht="15" hidden="false" customHeight="true" outlineLevel="0" collapsed="false">
      <c r="A30" s="28" t="s">
        <v>189</v>
      </c>
      <c r="B30" s="29"/>
      <c r="C30" s="29"/>
      <c r="D30" s="29"/>
      <c r="E30" s="29"/>
      <c r="F30" s="29"/>
      <c r="G30" s="29"/>
    </row>
    <row r="31" customFormat="false" ht="15" hidden="false" customHeight="true" outlineLevel="0" collapsed="false">
      <c r="A31" s="3" t="s">
        <v>190</v>
      </c>
      <c r="B31" s="5" t="s">
        <v>191</v>
      </c>
      <c r="C31" s="3" t="s">
        <v>192</v>
      </c>
      <c r="D31" s="41" t="n">
        <v>0.3</v>
      </c>
      <c r="E31" s="41" t="n">
        <v>0.27</v>
      </c>
      <c r="F31" s="25" t="n">
        <f aca="false">IF(sel_costos=1,D31,E31)</f>
        <v>0.27</v>
      </c>
      <c r="G31" s="3" t="s">
        <v>193</v>
      </c>
    </row>
    <row r="32" customFormat="false" ht="15" hidden="false" customHeight="true" outlineLevel="0" collapsed="false">
      <c r="A32" s="3" t="s">
        <v>194</v>
      </c>
      <c r="B32" s="5" t="s">
        <v>195</v>
      </c>
      <c r="C32" s="3" t="s">
        <v>196</v>
      </c>
      <c r="D32" s="41" t="n">
        <v>0.2</v>
      </c>
      <c r="E32" s="41" t="n">
        <v>0.17</v>
      </c>
      <c r="F32" s="25" t="n">
        <f aca="false">IF(sel_costos=1,D32,E32)</f>
        <v>0.17</v>
      </c>
      <c r="G32" s="3" t="s">
        <v>197</v>
      </c>
    </row>
    <row r="33" customFormat="false" ht="15" hidden="false" customHeight="true" outlineLevel="0" collapsed="false">
      <c r="A33" s="3" t="s">
        <v>198</v>
      </c>
      <c r="B33" s="5" t="s">
        <v>199</v>
      </c>
      <c r="C33" s="3" t="s">
        <v>127</v>
      </c>
      <c r="D33" s="32" t="n">
        <v>0.3</v>
      </c>
      <c r="E33" s="32" t="n">
        <v>0.3</v>
      </c>
      <c r="F33" s="25" t="n">
        <f aca="false">IF(sel_costos=1,D33,E33)</f>
        <v>0.3</v>
      </c>
      <c r="G33" s="3" t="s">
        <v>200</v>
      </c>
    </row>
    <row r="34" customFormat="false" ht="15" hidden="false" customHeight="true" outlineLevel="0" collapsed="false">
      <c r="A34" s="28" t="s">
        <v>201</v>
      </c>
      <c r="B34" s="29"/>
      <c r="C34" s="29"/>
      <c r="D34" s="29"/>
      <c r="E34" s="29"/>
      <c r="F34" s="29"/>
      <c r="G34" s="29"/>
    </row>
    <row r="35" customFormat="false" ht="15" hidden="false" customHeight="true" outlineLevel="0" collapsed="false">
      <c r="A35" s="3" t="s">
        <v>202</v>
      </c>
      <c r="B35" s="5" t="s">
        <v>203</v>
      </c>
      <c r="C35" s="3" t="s">
        <v>204</v>
      </c>
      <c r="D35" s="35" t="n">
        <v>168</v>
      </c>
      <c r="E35" s="35" t="n">
        <v>168</v>
      </c>
      <c r="F35" s="24" t="n">
        <f aca="false">IF(sel_costos=1,D35,E35)</f>
        <v>168</v>
      </c>
      <c r="G35" s="3" t="s">
        <v>205</v>
      </c>
    </row>
    <row r="36" customFormat="false" ht="15" hidden="false" customHeight="true" outlineLevel="0" collapsed="false">
      <c r="A36" s="3" t="s">
        <v>206</v>
      </c>
      <c r="B36" s="5" t="s">
        <v>207</v>
      </c>
      <c r="C36" s="3" t="s">
        <v>208</v>
      </c>
      <c r="D36" s="42" t="n">
        <v>2.6</v>
      </c>
      <c r="E36" s="42" t="n">
        <v>2.3</v>
      </c>
      <c r="F36" s="31" t="n">
        <f aca="false">IF(sel_costos=1,D36,E36)</f>
        <v>2.3</v>
      </c>
      <c r="G36" s="3" t="s">
        <v>209</v>
      </c>
    </row>
    <row r="37" customFormat="false" ht="15" hidden="false" customHeight="true" outlineLevel="0" collapsed="false">
      <c r="A37" s="3" t="s">
        <v>210</v>
      </c>
      <c r="B37" s="5" t="s">
        <v>211</v>
      </c>
      <c r="C37" s="3" t="s">
        <v>127</v>
      </c>
      <c r="D37" s="32" t="n">
        <v>0.05</v>
      </c>
      <c r="E37" s="32" t="n">
        <v>0.03</v>
      </c>
      <c r="F37" s="25" t="n">
        <f aca="false">IF(sel_costos=1,D37,E37)</f>
        <v>0.03</v>
      </c>
      <c r="G37" s="3" t="s">
        <v>212</v>
      </c>
    </row>
    <row r="38" customFormat="false" ht="15" hidden="false" customHeight="true" outlineLevel="0" collapsed="false">
      <c r="A38" s="28" t="s">
        <v>213</v>
      </c>
      <c r="B38" s="29"/>
      <c r="C38" s="29"/>
      <c r="D38" s="29"/>
      <c r="E38" s="29"/>
      <c r="F38" s="29"/>
      <c r="G38" s="29"/>
    </row>
    <row r="39" customFormat="false" ht="15" hidden="false" customHeight="true" outlineLevel="0" collapsed="false">
      <c r="A39" s="3" t="s">
        <v>214</v>
      </c>
      <c r="B39" s="5" t="s">
        <v>215</v>
      </c>
      <c r="C39" s="3" t="s">
        <v>216</v>
      </c>
      <c r="D39" s="43" t="n">
        <v>1461</v>
      </c>
      <c r="E39" s="43" t="n">
        <v>1461</v>
      </c>
      <c r="F39" s="24" t="n">
        <f aca="false">IF(sel_costos=1,D39,E39)</f>
        <v>1461</v>
      </c>
      <c r="G39" s="3" t="s">
        <v>217</v>
      </c>
    </row>
    <row r="40" customFormat="false" ht="15" hidden="false" customHeight="true" outlineLevel="0" collapsed="false">
      <c r="A40" s="3" t="s">
        <v>218</v>
      </c>
      <c r="B40" s="5" t="s">
        <v>219</v>
      </c>
      <c r="C40" s="3" t="s">
        <v>220</v>
      </c>
      <c r="D40" s="30" t="n">
        <v>1.25</v>
      </c>
      <c r="E40" s="30" t="n">
        <v>1.1</v>
      </c>
      <c r="F40" s="31" t="n">
        <f aca="false">IF(sel_costos=1,D40,E40)</f>
        <v>1.1</v>
      </c>
      <c r="G40" s="3" t="s">
        <v>221</v>
      </c>
    </row>
    <row r="41" customFormat="false" ht="15" hidden="false" customHeight="true" outlineLevel="0" collapsed="false">
      <c r="A41" s="3" t="s">
        <v>222</v>
      </c>
      <c r="B41" s="5" t="s">
        <v>223</v>
      </c>
      <c r="C41" s="3" t="s">
        <v>157</v>
      </c>
      <c r="D41" s="36" t="n">
        <v>5.5</v>
      </c>
      <c r="E41" s="36" t="n">
        <v>4.2</v>
      </c>
      <c r="F41" s="37" t="n">
        <f aca="false">IF(sel_costos=1,D41,E41)</f>
        <v>4.2</v>
      </c>
      <c r="G41" s="3" t="s">
        <v>224</v>
      </c>
    </row>
    <row r="42" customFormat="false" ht="15" hidden="false" customHeight="true" outlineLevel="0" collapsed="false">
      <c r="A42" s="3" t="s">
        <v>225</v>
      </c>
      <c r="B42" s="5" t="s">
        <v>226</v>
      </c>
      <c r="C42" s="3" t="s">
        <v>157</v>
      </c>
      <c r="D42" s="38" t="n">
        <v>18</v>
      </c>
      <c r="E42" s="38" t="n">
        <v>15</v>
      </c>
      <c r="F42" s="37" t="n">
        <f aca="false">IF(sel_costos=1,D42,E42)</f>
        <v>15</v>
      </c>
      <c r="G42" s="3" t="s">
        <v>227</v>
      </c>
    </row>
    <row r="43" customFormat="false" ht="15" hidden="false" customHeight="true" outlineLevel="0" collapsed="false">
      <c r="A43" s="3" t="s">
        <v>228</v>
      </c>
      <c r="B43" s="5" t="s">
        <v>229</v>
      </c>
      <c r="C43" s="3" t="s">
        <v>157</v>
      </c>
      <c r="D43" s="38" t="n">
        <v>0.5</v>
      </c>
      <c r="E43" s="38" t="n">
        <v>0.4</v>
      </c>
      <c r="F43" s="37" t="n">
        <f aca="false">IF(sel_costos=1,D43,E43)</f>
        <v>0.4</v>
      </c>
      <c r="G43" s="3" t="s">
        <v>230</v>
      </c>
    </row>
    <row r="44" customFormat="false" ht="15" hidden="false" customHeight="true" outlineLevel="0" collapsed="false">
      <c r="A44" s="3" t="s">
        <v>231</v>
      </c>
      <c r="B44" s="5" t="s">
        <v>232</v>
      </c>
      <c r="C44" s="3" t="s">
        <v>157</v>
      </c>
      <c r="D44" s="38" t="n">
        <v>0.9</v>
      </c>
      <c r="E44" s="38" t="n">
        <v>0.75</v>
      </c>
      <c r="F44" s="37" t="n">
        <f aca="false">IF(sel_costos=1,D44,E44)</f>
        <v>0.75</v>
      </c>
      <c r="G44" s="3" t="s">
        <v>227</v>
      </c>
    </row>
    <row r="45" customFormat="false" ht="15" hidden="false" customHeight="true" outlineLevel="0" collapsed="false">
      <c r="A45" s="3" t="s">
        <v>233</v>
      </c>
      <c r="B45" s="5" t="s">
        <v>234</v>
      </c>
      <c r="C45" s="3" t="s">
        <v>157</v>
      </c>
      <c r="D45" s="38" t="n">
        <v>1.5</v>
      </c>
      <c r="E45" s="38" t="n">
        <v>1.2</v>
      </c>
      <c r="F45" s="37" t="n">
        <f aca="false">IF(sel_costos=1,D45,E45)</f>
        <v>1.2</v>
      </c>
      <c r="G45" s="3" t="s">
        <v>227</v>
      </c>
    </row>
    <row r="46" customFormat="false" ht="15" hidden="false" customHeight="true" outlineLevel="0" collapsed="false">
      <c r="A46" s="3" t="s">
        <v>235</v>
      </c>
      <c r="B46" s="5" t="s">
        <v>236</v>
      </c>
      <c r="C46" s="3" t="s">
        <v>157</v>
      </c>
      <c r="D46" s="38" t="n">
        <v>3.5</v>
      </c>
      <c r="E46" s="38" t="n">
        <v>2.5</v>
      </c>
      <c r="F46" s="37" t="n">
        <f aca="false">IF(sel_costos=1,D46,E46)</f>
        <v>2.5</v>
      </c>
      <c r="G46" s="3" t="s">
        <v>237</v>
      </c>
    </row>
    <row r="47" customFormat="false" ht="15" hidden="false" customHeight="true" outlineLevel="0" collapsed="false">
      <c r="A47" s="3" t="s">
        <v>238</v>
      </c>
      <c r="B47" s="5" t="s">
        <v>239</v>
      </c>
      <c r="C47" s="3" t="s">
        <v>157</v>
      </c>
      <c r="D47" s="38" t="n">
        <v>4</v>
      </c>
      <c r="E47" s="38" t="n">
        <v>2.5</v>
      </c>
      <c r="F47" s="37" t="n">
        <f aca="false">IF(sel_costos=1,D47,E47)</f>
        <v>2.5</v>
      </c>
      <c r="G47" s="3" t="s">
        <v>240</v>
      </c>
    </row>
    <row r="48" customFormat="false" ht="15" hidden="false" customHeight="true" outlineLevel="0" collapsed="false">
      <c r="A48" s="3" t="s">
        <v>241</v>
      </c>
      <c r="B48" s="5" t="s">
        <v>242</v>
      </c>
      <c r="C48" s="3" t="s">
        <v>157</v>
      </c>
      <c r="D48" s="38" t="n">
        <v>0.6</v>
      </c>
      <c r="E48" s="38" t="n">
        <v>0.45</v>
      </c>
      <c r="F48" s="37" t="n">
        <f aca="false">IF(sel_costos=1,D48,E48)</f>
        <v>0.45</v>
      </c>
      <c r="G48" s="3" t="s">
        <v>227</v>
      </c>
    </row>
    <row r="49" customFormat="false" ht="15" hidden="false" customHeight="true" outlineLevel="0" collapsed="false">
      <c r="A49" s="3" t="s">
        <v>243</v>
      </c>
      <c r="B49" s="5" t="s">
        <v>244</v>
      </c>
      <c r="C49" s="3" t="s">
        <v>157</v>
      </c>
      <c r="D49" s="38" t="n">
        <v>0.45</v>
      </c>
      <c r="E49" s="38" t="n">
        <v>0.35</v>
      </c>
      <c r="F49" s="37" t="n">
        <f aca="false">IF(sel_costos=1,D49,E49)</f>
        <v>0.35</v>
      </c>
      <c r="G49" s="3" t="s">
        <v>245</v>
      </c>
    </row>
    <row r="50" customFormat="false" ht="15" hidden="false" customHeight="true" outlineLevel="0" collapsed="false">
      <c r="A50" s="3" t="s">
        <v>246</v>
      </c>
      <c r="B50" s="5" t="s">
        <v>247</v>
      </c>
      <c r="C50" s="3" t="s">
        <v>157</v>
      </c>
      <c r="D50" s="38" t="n">
        <v>0.3</v>
      </c>
      <c r="E50" s="38" t="n">
        <v>0.22</v>
      </c>
      <c r="F50" s="37" t="n">
        <f aca="false">IF(sel_costos=1,D50,E50)</f>
        <v>0.22</v>
      </c>
      <c r="G50" s="40"/>
    </row>
    <row r="51" customFormat="false" ht="15" hidden="false" customHeight="true" outlineLevel="0" collapsed="false">
      <c r="A51" s="3" t="s">
        <v>248</v>
      </c>
      <c r="B51" s="5" t="s">
        <v>249</v>
      </c>
      <c r="C51" s="3" t="s">
        <v>157</v>
      </c>
      <c r="D51" s="38" t="n">
        <v>14</v>
      </c>
      <c r="E51" s="38" t="n">
        <v>12</v>
      </c>
      <c r="F51" s="37" t="n">
        <f aca="false">IF(sel_costos=1,D51,E51)</f>
        <v>12</v>
      </c>
      <c r="G51" s="3" t="s">
        <v>227</v>
      </c>
    </row>
    <row r="52" customFormat="false" ht="15" hidden="false" customHeight="true" outlineLevel="0" collapsed="false">
      <c r="A52" s="3" t="s">
        <v>250</v>
      </c>
      <c r="B52" s="5" t="s">
        <v>251</v>
      </c>
      <c r="C52" s="3" t="s">
        <v>157</v>
      </c>
      <c r="D52" s="38" t="n">
        <v>6</v>
      </c>
      <c r="E52" s="38" t="n">
        <v>5</v>
      </c>
      <c r="F52" s="37" t="n">
        <f aca="false">IF(sel_costos=1,D52,E52)</f>
        <v>5</v>
      </c>
      <c r="G52" s="3" t="s">
        <v>227</v>
      </c>
    </row>
    <row r="53" customFormat="false" ht="15" hidden="false" customHeight="true" outlineLevel="0" collapsed="false">
      <c r="A53" s="3" t="s">
        <v>252</v>
      </c>
      <c r="B53" s="5" t="s">
        <v>253</v>
      </c>
      <c r="C53" s="3" t="s">
        <v>127</v>
      </c>
      <c r="D53" s="32" t="n">
        <v>0.03</v>
      </c>
      <c r="E53" s="32" t="n">
        <v>0.015</v>
      </c>
      <c r="F53" s="25" t="n">
        <f aca="false">IF(sel_costos=1,D53,E53)</f>
        <v>0.015</v>
      </c>
      <c r="G53" s="40"/>
    </row>
    <row r="54" customFormat="false" ht="15" hidden="false" customHeight="true" outlineLevel="0" collapsed="false">
      <c r="A54" s="28" t="s">
        <v>254</v>
      </c>
      <c r="B54" s="29"/>
      <c r="C54" s="29"/>
      <c r="D54" s="29"/>
      <c r="E54" s="29"/>
      <c r="F54" s="29"/>
      <c r="G54" s="29"/>
    </row>
    <row r="55" customFormat="false" ht="15" hidden="false" customHeight="true" outlineLevel="0" collapsed="false">
      <c r="A55" s="3" t="s">
        <v>255</v>
      </c>
      <c r="B55" s="5" t="s">
        <v>256</v>
      </c>
      <c r="C55" s="3" t="s">
        <v>257</v>
      </c>
      <c r="D55" s="39" t="n">
        <v>1400</v>
      </c>
      <c r="E55" s="39" t="n">
        <v>1200</v>
      </c>
      <c r="F55" s="23" t="n">
        <f aca="false">IF(sel_costos=1,D55,E55)</f>
        <v>1200</v>
      </c>
      <c r="G55" s="3" t="s">
        <v>258</v>
      </c>
    </row>
    <row r="56" customFormat="false" ht="15" hidden="false" customHeight="true" outlineLevel="0" collapsed="false">
      <c r="A56" s="3" t="s">
        <v>259</v>
      </c>
      <c r="B56" s="5" t="s">
        <v>260</v>
      </c>
      <c r="C56" s="3" t="s">
        <v>261</v>
      </c>
      <c r="D56" s="35" t="n">
        <v>4</v>
      </c>
      <c r="E56" s="35" t="n">
        <v>6</v>
      </c>
      <c r="F56" s="24" t="n">
        <f aca="false">IF(sel_costos=1,D56,E56)</f>
        <v>6</v>
      </c>
      <c r="G56" s="3" t="s">
        <v>262</v>
      </c>
    </row>
    <row r="57" customFormat="false" ht="15" hidden="false" customHeight="true" outlineLevel="0" collapsed="false">
      <c r="A57" s="3" t="s">
        <v>263</v>
      </c>
      <c r="B57" s="5" t="s">
        <v>264</v>
      </c>
      <c r="C57" s="3" t="s">
        <v>265</v>
      </c>
      <c r="D57" s="35" t="n">
        <v>720</v>
      </c>
      <c r="E57" s="35" t="n">
        <v>800</v>
      </c>
      <c r="F57" s="24" t="n">
        <f aca="false">IF(sel_costos=1,D57,E57)</f>
        <v>800</v>
      </c>
      <c r="G57" s="3" t="s">
        <v>266</v>
      </c>
    </row>
    <row r="58" customFormat="false" ht="15" hidden="false" customHeight="true" outlineLevel="0" collapsed="false">
      <c r="A58" s="3" t="s">
        <v>267</v>
      </c>
      <c r="B58" s="5" t="s">
        <v>268</v>
      </c>
      <c r="C58" s="3" t="s">
        <v>265</v>
      </c>
      <c r="D58" s="35" t="n">
        <v>1400</v>
      </c>
      <c r="E58" s="35" t="n">
        <v>1800</v>
      </c>
      <c r="F58" s="24" t="n">
        <f aca="false">IF(sel_costos=1,D58,E58)</f>
        <v>1800</v>
      </c>
      <c r="G58" s="3" t="s">
        <v>269</v>
      </c>
    </row>
    <row r="59" customFormat="false" ht="15" hidden="false" customHeight="true" outlineLevel="0" collapsed="false">
      <c r="A59" s="28" t="s">
        <v>270</v>
      </c>
      <c r="B59" s="29"/>
      <c r="C59" s="29"/>
      <c r="D59" s="29"/>
      <c r="E59" s="29"/>
      <c r="F59" s="29"/>
      <c r="G59" s="29"/>
    </row>
    <row r="60" customFormat="false" ht="15" hidden="false" customHeight="true" outlineLevel="0" collapsed="false">
      <c r="A60" s="3" t="s">
        <v>271</v>
      </c>
      <c r="B60" s="5" t="s">
        <v>272</v>
      </c>
      <c r="C60" s="3" t="s">
        <v>157</v>
      </c>
      <c r="D60" s="38" t="n">
        <v>2.2</v>
      </c>
      <c r="E60" s="38" t="n">
        <v>2.2</v>
      </c>
      <c r="F60" s="37" t="n">
        <f aca="false">IF(sel_costos=1,D60,E60)</f>
        <v>2.2</v>
      </c>
      <c r="G60" s="3" t="s">
        <v>273</v>
      </c>
    </row>
    <row r="61" customFormat="false" ht="15" hidden="false" customHeight="true" outlineLevel="0" collapsed="false">
      <c r="A61" s="3" t="s">
        <v>274</v>
      </c>
      <c r="B61" s="5" t="s">
        <v>275</v>
      </c>
      <c r="C61" s="3" t="s">
        <v>276</v>
      </c>
      <c r="D61" s="38" t="n">
        <v>315.04</v>
      </c>
      <c r="E61" s="38" t="n">
        <v>315.04</v>
      </c>
      <c r="F61" s="37" t="n">
        <f aca="false">IF(sel_costos=1,D61,E61)</f>
        <v>315.04</v>
      </c>
      <c r="G61" s="3" t="s">
        <v>277</v>
      </c>
    </row>
    <row r="62" customFormat="false" ht="15" hidden="false" customHeight="true" outlineLevel="0" collapsed="false">
      <c r="A62" s="3" t="s">
        <v>278</v>
      </c>
      <c r="B62" s="5" t="s">
        <v>279</v>
      </c>
      <c r="C62" s="3" t="s">
        <v>220</v>
      </c>
      <c r="D62" s="30" t="n">
        <v>1.15</v>
      </c>
      <c r="E62" s="30" t="n">
        <v>1.15</v>
      </c>
      <c r="F62" s="31" t="n">
        <f aca="false">IF(sel_costos=1,D62,E62)</f>
        <v>1.15</v>
      </c>
      <c r="G62" s="40"/>
    </row>
    <row r="63" customFormat="false" ht="15" hidden="false" customHeight="true" outlineLevel="0" collapsed="false">
      <c r="A63" s="3" t="s">
        <v>280</v>
      </c>
      <c r="B63" s="5" t="s">
        <v>281</v>
      </c>
      <c r="C63" s="3" t="s">
        <v>220</v>
      </c>
      <c r="D63" s="30" t="n">
        <v>1.35</v>
      </c>
      <c r="E63" s="30" t="n">
        <v>1.35</v>
      </c>
      <c r="F63" s="31" t="n">
        <f aca="false">IF(sel_costos=1,D63,E63)</f>
        <v>1.35</v>
      </c>
      <c r="G63" s="3" t="s">
        <v>282</v>
      </c>
    </row>
    <row r="64" customFormat="false" ht="15" hidden="false" customHeight="true" outlineLevel="0" collapsed="false">
      <c r="A64" s="3" t="s">
        <v>283</v>
      </c>
      <c r="B64" s="5" t="s">
        <v>284</v>
      </c>
      <c r="C64" s="3" t="s">
        <v>285</v>
      </c>
      <c r="D64" s="35" t="n">
        <v>450</v>
      </c>
      <c r="E64" s="35" t="n">
        <v>550</v>
      </c>
      <c r="F64" s="24" t="n">
        <f aca="false">IF(sel_costos=1,D64,E64)</f>
        <v>550</v>
      </c>
      <c r="G64" s="3" t="s">
        <v>286</v>
      </c>
    </row>
    <row r="65" customFormat="false" ht="15" hidden="false" customHeight="true" outlineLevel="0" collapsed="false">
      <c r="A65" s="3" t="s">
        <v>287</v>
      </c>
      <c r="B65" s="5" t="s">
        <v>288</v>
      </c>
      <c r="C65" s="3" t="s">
        <v>157</v>
      </c>
      <c r="D65" s="38" t="n">
        <v>0.3</v>
      </c>
      <c r="E65" s="38" t="n">
        <v>0.25</v>
      </c>
      <c r="F65" s="37" t="n">
        <f aca="false">IF(sel_costos=1,D65,E65)</f>
        <v>0.25</v>
      </c>
      <c r="G65" s="3" t="s">
        <v>289</v>
      </c>
    </row>
    <row r="66" customFormat="false" ht="15" hidden="false" customHeight="true" outlineLevel="0" collapsed="false">
      <c r="A66" s="3" t="s">
        <v>290</v>
      </c>
      <c r="B66" s="5" t="s">
        <v>291</v>
      </c>
      <c r="C66" s="3" t="s">
        <v>157</v>
      </c>
      <c r="D66" s="38" t="n">
        <v>0.15</v>
      </c>
      <c r="E66" s="38" t="n">
        <v>0.1</v>
      </c>
      <c r="F66" s="37" t="n">
        <f aca="false">IF(sel_costos=1,D66,E66)</f>
        <v>0.1</v>
      </c>
      <c r="G66" s="40"/>
    </row>
    <row r="67" customFormat="false" ht="15" hidden="false" customHeight="true" outlineLevel="0" collapsed="false">
      <c r="A67" s="3" t="s">
        <v>292</v>
      </c>
      <c r="B67" s="5" t="s">
        <v>293</v>
      </c>
      <c r="C67" s="3" t="s">
        <v>220</v>
      </c>
      <c r="D67" s="30" t="n">
        <v>0.75</v>
      </c>
      <c r="E67" s="30" t="n">
        <v>0.75</v>
      </c>
      <c r="F67" s="31" t="n">
        <f aca="false">IF(sel_costos=1,D67,E67)</f>
        <v>0.75</v>
      </c>
      <c r="G67" s="3" t="s">
        <v>294</v>
      </c>
    </row>
    <row r="68" customFormat="false" ht="15" hidden="false" customHeight="true" outlineLevel="0" collapsed="false">
      <c r="A68" s="3" t="s">
        <v>295</v>
      </c>
      <c r="B68" s="5" t="s">
        <v>296</v>
      </c>
      <c r="C68" s="3" t="s">
        <v>297</v>
      </c>
      <c r="D68" s="43" t="n">
        <v>99</v>
      </c>
      <c r="E68" s="43" t="n">
        <v>99</v>
      </c>
      <c r="F68" s="24" t="n">
        <f aca="false">IF(sel_costos=1,D68,E68)</f>
        <v>99</v>
      </c>
      <c r="G68" s="3" t="s">
        <v>298</v>
      </c>
    </row>
    <row r="69" customFormat="false" ht="15" hidden="false" customHeight="true" outlineLevel="0" collapsed="false">
      <c r="A69" s="3" t="s">
        <v>299</v>
      </c>
      <c r="B69" s="5" t="s">
        <v>300</v>
      </c>
      <c r="C69" s="3" t="s">
        <v>301</v>
      </c>
      <c r="D69" s="39" t="n">
        <v>18000</v>
      </c>
      <c r="E69" s="39" t="n">
        <v>18000</v>
      </c>
      <c r="F69" s="23" t="n">
        <f aca="false">IF(sel_costos=1,D69,E69)</f>
        <v>18000</v>
      </c>
      <c r="G69" s="3" t="s">
        <v>302</v>
      </c>
    </row>
    <row r="70" customFormat="false" ht="15" hidden="false" customHeight="true" outlineLevel="0" collapsed="false">
      <c r="A70" s="28" t="s">
        <v>303</v>
      </c>
      <c r="B70" s="29"/>
      <c r="C70" s="29"/>
      <c r="D70" s="29"/>
      <c r="E70" s="29"/>
      <c r="F70" s="29"/>
      <c r="G70" s="29"/>
    </row>
    <row r="71" customFormat="false" ht="15" hidden="false" customHeight="true" outlineLevel="0" collapsed="false">
      <c r="A71" s="3" t="s">
        <v>304</v>
      </c>
      <c r="B71" s="5" t="s">
        <v>305</v>
      </c>
      <c r="C71" s="3" t="s">
        <v>306</v>
      </c>
      <c r="D71" s="35" t="n">
        <v>1000</v>
      </c>
      <c r="E71" s="35" t="n">
        <v>1000</v>
      </c>
      <c r="F71" s="24" t="n">
        <f aca="false">IF(sel_costos=1,D71,E71)</f>
        <v>1000</v>
      </c>
      <c r="G71" s="3" t="s">
        <v>307</v>
      </c>
    </row>
    <row r="72" customFormat="false" ht="15" hidden="false" customHeight="true" outlineLevel="0" collapsed="false">
      <c r="A72" s="3" t="s">
        <v>308</v>
      </c>
      <c r="B72" s="5" t="s">
        <v>309</v>
      </c>
      <c r="C72" s="3" t="s">
        <v>306</v>
      </c>
      <c r="D72" s="35" t="n">
        <v>50</v>
      </c>
      <c r="E72" s="35" t="n">
        <v>50</v>
      </c>
      <c r="F72" s="24" t="n">
        <f aca="false">IF(sel_costos=1,D72,E72)</f>
        <v>50</v>
      </c>
      <c r="G72" s="40"/>
    </row>
    <row r="73" customFormat="false" ht="15" hidden="false" customHeight="true" outlineLevel="0" collapsed="false">
      <c r="A73" s="3" t="s">
        <v>310</v>
      </c>
      <c r="B73" s="5" t="s">
        <v>311</v>
      </c>
      <c r="C73" s="3" t="s">
        <v>149</v>
      </c>
      <c r="D73" s="35" t="n">
        <v>2</v>
      </c>
      <c r="E73" s="35" t="n">
        <v>2</v>
      </c>
      <c r="F73" s="24" t="n">
        <f aca="false">IF(sel_costos=1,D73,E73)</f>
        <v>2</v>
      </c>
      <c r="G73" s="3" t="s">
        <v>312</v>
      </c>
    </row>
    <row r="74" customFormat="false" ht="15" hidden="false" customHeight="true" outlineLevel="0" collapsed="false">
      <c r="A74" s="3" t="s">
        <v>313</v>
      </c>
      <c r="B74" s="5" t="s">
        <v>314</v>
      </c>
      <c r="C74" s="3" t="s">
        <v>149</v>
      </c>
      <c r="D74" s="35" t="n">
        <v>6</v>
      </c>
      <c r="E74" s="35" t="n">
        <v>6</v>
      </c>
      <c r="F74" s="24" t="n">
        <f aca="false">IF(sel_costos=1,D74,E74)</f>
        <v>6</v>
      </c>
      <c r="G74" s="40"/>
    </row>
    <row r="75" customFormat="false" ht="15" hidden="false" customHeight="true" outlineLevel="0" collapsed="false">
      <c r="A75" s="3" t="s">
        <v>315</v>
      </c>
      <c r="B75" s="5" t="s">
        <v>316</v>
      </c>
      <c r="C75" s="3" t="s">
        <v>127</v>
      </c>
      <c r="D75" s="32" t="n">
        <v>0.1</v>
      </c>
      <c r="E75" s="32" t="n">
        <v>0.1</v>
      </c>
      <c r="F75" s="25" t="n">
        <f aca="false">IF(sel_costos=1,D75,E75)</f>
        <v>0.1</v>
      </c>
      <c r="G75" s="3" t="s">
        <v>317</v>
      </c>
    </row>
    <row r="76" customFormat="false" ht="15" hidden="false" customHeight="true" outlineLevel="0" collapsed="false">
      <c r="A76" s="3" t="s">
        <v>318</v>
      </c>
      <c r="B76" s="5" t="s">
        <v>319</v>
      </c>
      <c r="C76" s="3" t="s">
        <v>265</v>
      </c>
      <c r="D76" s="35" t="n">
        <v>24</v>
      </c>
      <c r="E76" s="35" t="n">
        <v>24</v>
      </c>
      <c r="F76" s="24" t="n">
        <f aca="false">IF(sel_costos=1,D76,E76)</f>
        <v>24</v>
      </c>
      <c r="G76" s="3" t="s">
        <v>320</v>
      </c>
    </row>
    <row r="77" customFormat="false" ht="15" hidden="false" customHeight="true" outlineLevel="0" collapsed="false">
      <c r="A77" s="3" t="s">
        <v>321</v>
      </c>
      <c r="B77" s="5" t="s">
        <v>322</v>
      </c>
      <c r="C77" s="3" t="s">
        <v>127</v>
      </c>
      <c r="D77" s="32" t="n">
        <v>0.06</v>
      </c>
      <c r="E77" s="32" t="n">
        <v>0.04</v>
      </c>
      <c r="F77" s="25" t="n">
        <f aca="false">IF(sel_costos=1,D77,E77)</f>
        <v>0.04</v>
      </c>
      <c r="G77" s="3" t="s">
        <v>323</v>
      </c>
    </row>
    <row r="78" customFormat="false" ht="15" hidden="false" customHeight="true" outlineLevel="0" collapsed="false">
      <c r="A78" s="3" t="s">
        <v>324</v>
      </c>
      <c r="B78" s="5" t="s">
        <v>325</v>
      </c>
      <c r="C78" s="3" t="s">
        <v>127</v>
      </c>
      <c r="D78" s="32" t="n">
        <v>0.4</v>
      </c>
      <c r="E78" s="32" t="n">
        <v>0.3</v>
      </c>
      <c r="F78" s="25" t="n">
        <f aca="false">IF(sel_costos=1,D78,E78)</f>
        <v>0.3</v>
      </c>
      <c r="G78" s="3" t="s">
        <v>326</v>
      </c>
    </row>
    <row r="79" customFormat="false" ht="15" hidden="false" customHeight="true" outlineLevel="0" collapsed="false">
      <c r="A79" s="3" t="s">
        <v>327</v>
      </c>
      <c r="B79" s="5" t="s">
        <v>328</v>
      </c>
      <c r="C79" s="3" t="s">
        <v>329</v>
      </c>
      <c r="D79" s="39" t="n">
        <v>380</v>
      </c>
      <c r="E79" s="39" t="n">
        <v>320</v>
      </c>
      <c r="F79" s="23" t="n">
        <f aca="false">IF(sel_costos=1,D79,E79)</f>
        <v>320</v>
      </c>
      <c r="G79" s="3" t="s">
        <v>330</v>
      </c>
    </row>
    <row r="80" customFormat="false" ht="15" hidden="false" customHeight="true" outlineLevel="0" collapsed="false">
      <c r="A80" s="3" t="s">
        <v>331</v>
      </c>
      <c r="B80" s="5" t="s">
        <v>332</v>
      </c>
      <c r="C80" s="3" t="s">
        <v>329</v>
      </c>
      <c r="D80" s="39" t="n">
        <v>60</v>
      </c>
      <c r="E80" s="39" t="n">
        <v>50</v>
      </c>
      <c r="F80" s="23" t="n">
        <f aca="false">IF(sel_costos=1,D80,E80)</f>
        <v>50</v>
      </c>
      <c r="G80" s="3" t="s">
        <v>333</v>
      </c>
    </row>
    <row r="81" customFormat="false" ht="15" hidden="false" customHeight="true" outlineLevel="0" collapsed="false">
      <c r="A81" s="3" t="s">
        <v>334</v>
      </c>
      <c r="B81" s="5" t="s">
        <v>335</v>
      </c>
      <c r="C81" s="3" t="s">
        <v>336</v>
      </c>
      <c r="D81" s="32" t="n">
        <v>0.4</v>
      </c>
      <c r="E81" s="32" t="n">
        <v>0.35</v>
      </c>
      <c r="F81" s="25" t="n">
        <f aca="false">IF(sel_costos=1,D81,E81)</f>
        <v>0.35</v>
      </c>
      <c r="G81" s="3" t="s">
        <v>337</v>
      </c>
    </row>
    <row r="82" customFormat="false" ht="15" hidden="false" customHeight="true" outlineLevel="0" collapsed="false">
      <c r="A82" s="3" t="s">
        <v>338</v>
      </c>
      <c r="B82" s="5" t="s">
        <v>339</v>
      </c>
      <c r="C82" s="3" t="s">
        <v>336</v>
      </c>
      <c r="D82" s="32" t="n">
        <v>0.35</v>
      </c>
      <c r="E82" s="32" t="n">
        <v>0.4</v>
      </c>
      <c r="F82" s="25" t="n">
        <f aca="false">IF(sel_costos=1,D82,E82)</f>
        <v>0.4</v>
      </c>
      <c r="G82" s="40"/>
    </row>
    <row r="83" customFormat="false" ht="15" hidden="false" customHeight="true" outlineLevel="0" collapsed="false">
      <c r="A83" s="3" t="s">
        <v>340</v>
      </c>
      <c r="B83" s="5" t="s">
        <v>341</v>
      </c>
      <c r="C83" s="3" t="s">
        <v>336</v>
      </c>
      <c r="D83" s="32" t="n">
        <v>0.2</v>
      </c>
      <c r="E83" s="32" t="n">
        <v>0.18</v>
      </c>
      <c r="F83" s="25" t="n">
        <f aca="false">IF(sel_costos=1,D83,E83)</f>
        <v>0.18</v>
      </c>
      <c r="G83" s="40"/>
    </row>
    <row r="84" customFormat="false" ht="15" hidden="false" customHeight="true" outlineLevel="0" collapsed="false">
      <c r="A84" s="3" t="s">
        <v>342</v>
      </c>
      <c r="B84" s="5" t="s">
        <v>343</v>
      </c>
      <c r="C84" s="3" t="s">
        <v>336</v>
      </c>
      <c r="D84" s="32" t="n">
        <v>0.05</v>
      </c>
      <c r="E84" s="32" t="n">
        <v>0.07</v>
      </c>
      <c r="F84" s="25" t="n">
        <f aca="false">IF(sel_costos=1,D84,E84)</f>
        <v>0.07</v>
      </c>
      <c r="G84" s="40"/>
    </row>
    <row r="85" customFormat="false" ht="15" hidden="false" customHeight="true" outlineLevel="0" collapsed="false">
      <c r="A85" s="3" t="s">
        <v>344</v>
      </c>
      <c r="B85" s="5" t="s">
        <v>345</v>
      </c>
      <c r="C85" s="3" t="s">
        <v>336</v>
      </c>
      <c r="D85" s="32" t="n">
        <v>0.3</v>
      </c>
      <c r="E85" s="32" t="n">
        <v>0.3</v>
      </c>
      <c r="F85" s="25" t="n">
        <f aca="false">IF(sel_costos=1,D85,E85)</f>
        <v>0.3</v>
      </c>
      <c r="G85" s="3" t="s">
        <v>346</v>
      </c>
    </row>
    <row r="86" customFormat="false" ht="15" hidden="false" customHeight="true" outlineLevel="0" collapsed="false">
      <c r="A86" s="3" t="s">
        <v>347</v>
      </c>
      <c r="B86" s="5" t="s">
        <v>348</v>
      </c>
      <c r="C86" s="3" t="s">
        <v>336</v>
      </c>
      <c r="D86" s="32" t="n">
        <v>0.3</v>
      </c>
      <c r="E86" s="32" t="n">
        <v>0.3</v>
      </c>
      <c r="F86" s="25" t="n">
        <f aca="false">IF(sel_costos=1,D86,E86)</f>
        <v>0.3</v>
      </c>
      <c r="G86" s="40"/>
    </row>
    <row r="87" customFormat="false" ht="15" hidden="false" customHeight="true" outlineLevel="0" collapsed="false">
      <c r="A87" s="3" t="s">
        <v>349</v>
      </c>
      <c r="B87" s="5" t="s">
        <v>350</v>
      </c>
      <c r="C87" s="3" t="s">
        <v>336</v>
      </c>
      <c r="D87" s="32" t="n">
        <v>0.32</v>
      </c>
      <c r="E87" s="32" t="n">
        <v>0.32</v>
      </c>
      <c r="F87" s="25" t="n">
        <f aca="false">IF(sel_costos=1,D87,E87)</f>
        <v>0.32</v>
      </c>
      <c r="G87" s="40"/>
    </row>
    <row r="88" customFormat="false" ht="15" hidden="false" customHeight="true" outlineLevel="0" collapsed="false">
      <c r="A88" s="3" t="s">
        <v>351</v>
      </c>
      <c r="B88" s="5" t="s">
        <v>352</v>
      </c>
      <c r="C88" s="3" t="s">
        <v>336</v>
      </c>
      <c r="D88" s="32" t="n">
        <v>0.08</v>
      </c>
      <c r="E88" s="32" t="n">
        <v>0.08</v>
      </c>
      <c r="F88" s="25" t="n">
        <f aca="false">IF(sel_costos=1,D88,E88)</f>
        <v>0.08</v>
      </c>
      <c r="G88" s="40"/>
    </row>
    <row r="89" customFormat="false" ht="15" hidden="false" customHeight="true" outlineLevel="0" collapsed="false">
      <c r="B89" s="3" t="s">
        <v>353</v>
      </c>
      <c r="F89" s="25" t="n">
        <f aca="false">mix_sem+mix_rep+mix_tem+mix_per</f>
        <v>1</v>
      </c>
      <c r="G89" s="21" t="str">
        <f aca="false">IF(ABS(F89-1)&lt;0.0001,"OK","REVISAR: no suma 100%")</f>
        <v>OK</v>
      </c>
    </row>
    <row r="90" customFormat="false" ht="15" hidden="false" customHeight="true" outlineLevel="0" collapsed="false">
      <c r="B90" s="3" t="s">
        <v>354</v>
      </c>
      <c r="F90" s="25" t="n">
        <f aca="false">mix_alta_sem+mix_alta_rep+mix_alta_tem+mix_alta_per</f>
        <v>1</v>
      </c>
      <c r="G90" s="21" t="str">
        <f aca="false">IF(ABS(F90-1)&lt;0.0001,"OK","REVISAR: no suma 100%")</f>
        <v>OK</v>
      </c>
    </row>
    <row r="91" customFormat="false" ht="15" hidden="false" customHeight="true" outlineLevel="0" collapsed="false">
      <c r="A91" s="28" t="s">
        <v>355</v>
      </c>
      <c r="B91" s="29"/>
      <c r="C91" s="29"/>
      <c r="D91" s="29"/>
      <c r="E91" s="29"/>
      <c r="F91" s="29"/>
      <c r="G91" s="29"/>
    </row>
    <row r="92" customFormat="false" ht="15" hidden="false" customHeight="true" outlineLevel="0" collapsed="false">
      <c r="A92" s="3" t="s">
        <v>356</v>
      </c>
      <c r="B92" s="5" t="s">
        <v>357</v>
      </c>
      <c r="C92" s="3" t="s">
        <v>358</v>
      </c>
      <c r="D92" s="35" t="n">
        <v>51</v>
      </c>
      <c r="E92" s="35" t="n">
        <v>51</v>
      </c>
      <c r="F92" s="24" t="n">
        <f aca="false">IF(sel_costos=1,D92,E92)</f>
        <v>51</v>
      </c>
      <c r="G92" s="3" t="s">
        <v>359</v>
      </c>
    </row>
    <row r="93" customFormat="false" ht="15" hidden="false" customHeight="true" outlineLevel="0" collapsed="false">
      <c r="A93" s="3" t="s">
        <v>360</v>
      </c>
      <c r="B93" s="5" t="s">
        <v>361</v>
      </c>
      <c r="C93" s="3" t="s">
        <v>127</v>
      </c>
      <c r="D93" s="32" t="n">
        <v>0.2</v>
      </c>
      <c r="E93" s="32" t="n">
        <v>0.25</v>
      </c>
      <c r="F93" s="25" t="n">
        <f aca="false">IF(sel_costos=1,D93,E93)</f>
        <v>0.25</v>
      </c>
      <c r="G93" s="40"/>
    </row>
    <row r="94" customFormat="false" ht="15" hidden="false" customHeight="true" outlineLevel="0" collapsed="false">
      <c r="A94" s="3" t="s">
        <v>362</v>
      </c>
      <c r="B94" s="5" t="s">
        <v>363</v>
      </c>
      <c r="C94" s="3" t="s">
        <v>297</v>
      </c>
      <c r="D94" s="35" t="n">
        <v>2</v>
      </c>
      <c r="E94" s="35" t="n">
        <v>2</v>
      </c>
      <c r="F94" s="24" t="n">
        <f aca="false">IF(sel_costos=1,D94,E94)</f>
        <v>2</v>
      </c>
      <c r="G94" s="40"/>
    </row>
    <row r="95" customFormat="false" ht="15" hidden="false" customHeight="true" outlineLevel="0" collapsed="false">
      <c r="A95" s="3" t="s">
        <v>364</v>
      </c>
      <c r="B95" s="5" t="s">
        <v>365</v>
      </c>
      <c r="C95" s="3" t="s">
        <v>149</v>
      </c>
      <c r="D95" s="35" t="n">
        <v>6</v>
      </c>
      <c r="E95" s="35" t="n">
        <v>6</v>
      </c>
      <c r="F95" s="24" t="n">
        <f aca="false">IF(sel_costos=1,D95,E95)</f>
        <v>6</v>
      </c>
      <c r="G95" s="40"/>
    </row>
    <row r="96" customFormat="false" ht="15" hidden="false" customHeight="true" outlineLevel="0" collapsed="false">
      <c r="A96" s="3" t="s">
        <v>366</v>
      </c>
      <c r="B96" s="5" t="s">
        <v>367</v>
      </c>
      <c r="C96" s="3" t="s">
        <v>265</v>
      </c>
      <c r="D96" s="44" t="n">
        <v>1</v>
      </c>
      <c r="E96" s="44" t="n">
        <v>1</v>
      </c>
      <c r="F96" s="45" t="n">
        <f aca="false">IF(sel_costos=1,D96,E96)</f>
        <v>1</v>
      </c>
      <c r="G96" s="3" t="s">
        <v>368</v>
      </c>
    </row>
    <row r="97" customFormat="false" ht="15" hidden="false" customHeight="true" outlineLevel="0" collapsed="false">
      <c r="A97" s="3" t="s">
        <v>369</v>
      </c>
      <c r="B97" s="5" t="s">
        <v>370</v>
      </c>
      <c r="C97" s="3" t="s">
        <v>371</v>
      </c>
      <c r="D97" s="35" t="n">
        <v>12</v>
      </c>
      <c r="E97" s="35" t="n">
        <v>20</v>
      </c>
      <c r="F97" s="24" t="n">
        <f aca="false">IF(sel_costos=1,D97,E97)</f>
        <v>20</v>
      </c>
      <c r="G97" s="40"/>
    </row>
    <row r="98" customFormat="false" ht="15" hidden="false" customHeight="true" outlineLevel="0" collapsed="false">
      <c r="A98" s="3" t="s">
        <v>372</v>
      </c>
      <c r="B98" s="5" t="s">
        <v>373</v>
      </c>
      <c r="C98" s="3" t="s">
        <v>297</v>
      </c>
      <c r="D98" s="35" t="n">
        <v>3</v>
      </c>
      <c r="E98" s="35" t="n">
        <v>3</v>
      </c>
      <c r="F98" s="24" t="n">
        <f aca="false">IF(sel_costos=1,D98,E98)</f>
        <v>3</v>
      </c>
      <c r="G98" s="40"/>
    </row>
    <row r="99" customFormat="false" ht="15" hidden="false" customHeight="true" outlineLevel="0" collapsed="false">
      <c r="A99" s="3" t="s">
        <v>374</v>
      </c>
      <c r="B99" s="5" t="s">
        <v>375</v>
      </c>
      <c r="C99" s="3" t="s">
        <v>149</v>
      </c>
      <c r="D99" s="35" t="n">
        <v>9</v>
      </c>
      <c r="E99" s="35" t="n">
        <v>9</v>
      </c>
      <c r="F99" s="24" t="n">
        <f aca="false">IF(sel_costos=1,D99,E99)</f>
        <v>9</v>
      </c>
      <c r="G99" s="40"/>
    </row>
    <row r="100" customFormat="false" ht="15" hidden="false" customHeight="true" outlineLevel="0" collapsed="false">
      <c r="A100" s="3" t="s">
        <v>376</v>
      </c>
      <c r="B100" s="5" t="s">
        <v>377</v>
      </c>
      <c r="C100" s="3" t="s">
        <v>378</v>
      </c>
      <c r="D100" s="35" t="n">
        <v>15</v>
      </c>
      <c r="E100" s="35" t="n">
        <v>15</v>
      </c>
      <c r="F100" s="24" t="n">
        <f aca="false">IF(sel_costos=1,D100,E100)</f>
        <v>15</v>
      </c>
      <c r="G100" s="40"/>
    </row>
    <row r="101" customFormat="false" ht="15" hidden="false" customHeight="true" outlineLevel="0" collapsed="false">
      <c r="A101" s="3" t="s">
        <v>379</v>
      </c>
      <c r="B101" s="5" t="s">
        <v>380</v>
      </c>
      <c r="C101" s="3" t="s">
        <v>204</v>
      </c>
      <c r="D101" s="35" t="n">
        <v>4</v>
      </c>
      <c r="E101" s="35" t="n">
        <v>4</v>
      </c>
      <c r="F101" s="24" t="n">
        <f aca="false">IF(sel_costos=1,D101,E101)</f>
        <v>4</v>
      </c>
      <c r="G101" s="40"/>
    </row>
    <row r="102" customFormat="false" ht="15" hidden="false" customHeight="true" outlineLevel="0" collapsed="false">
      <c r="A102" s="3" t="s">
        <v>381</v>
      </c>
      <c r="B102" s="5" t="s">
        <v>382</v>
      </c>
      <c r="C102" s="3" t="s">
        <v>383</v>
      </c>
      <c r="D102" s="35" t="n">
        <v>26</v>
      </c>
      <c r="E102" s="35" t="n">
        <v>26</v>
      </c>
      <c r="F102" s="24" t="n">
        <f aca="false">IF(sel_costos=1,D102,E102)</f>
        <v>26</v>
      </c>
      <c r="G102" s="40"/>
    </row>
    <row r="103" customFormat="false" ht="15" hidden="false" customHeight="true" outlineLevel="0" collapsed="false">
      <c r="A103" s="3" t="s">
        <v>384</v>
      </c>
      <c r="B103" s="5" t="s">
        <v>385</v>
      </c>
      <c r="C103" s="3" t="s">
        <v>297</v>
      </c>
      <c r="D103" s="35" t="n">
        <v>2</v>
      </c>
      <c r="E103" s="35" t="n">
        <v>2</v>
      </c>
      <c r="F103" s="24" t="n">
        <f aca="false">IF(sel_costos=1,D103,E103)</f>
        <v>2</v>
      </c>
      <c r="G103" s="40"/>
    </row>
    <row r="104" customFormat="false" ht="15" hidden="false" customHeight="true" outlineLevel="0" collapsed="false">
      <c r="A104" s="3" t="s">
        <v>386</v>
      </c>
      <c r="B104" s="5" t="s">
        <v>387</v>
      </c>
      <c r="C104" s="3" t="s">
        <v>388</v>
      </c>
      <c r="D104" s="44" t="n">
        <v>1</v>
      </c>
      <c r="E104" s="44" t="n">
        <v>2</v>
      </c>
      <c r="F104" s="45" t="n">
        <f aca="false">IF(sel_costos=1,D104,E104)</f>
        <v>2</v>
      </c>
      <c r="G104" s="3" t="s">
        <v>389</v>
      </c>
    </row>
    <row r="105" customFormat="false" ht="15" hidden="false" customHeight="true" outlineLevel="0" collapsed="false">
      <c r="A105" s="3" t="s">
        <v>390</v>
      </c>
      <c r="B105" s="5" t="s">
        <v>391</v>
      </c>
      <c r="C105" s="3" t="s">
        <v>388</v>
      </c>
      <c r="D105" s="44" t="n">
        <v>3</v>
      </c>
      <c r="E105" s="44" t="n">
        <v>4</v>
      </c>
      <c r="F105" s="45" t="n">
        <f aca="false">IF(sel_costos=1,D105,E105)</f>
        <v>4</v>
      </c>
      <c r="G105" s="3" t="s">
        <v>392</v>
      </c>
    </row>
    <row r="106" customFormat="false" ht="15" hidden="false" customHeight="true" outlineLevel="0" collapsed="false">
      <c r="A106" s="3" t="s">
        <v>393</v>
      </c>
      <c r="B106" s="5" t="s">
        <v>394</v>
      </c>
      <c r="C106" s="3" t="s">
        <v>265</v>
      </c>
      <c r="D106" s="35" t="n">
        <v>150</v>
      </c>
      <c r="E106" s="35" t="n">
        <v>150</v>
      </c>
      <c r="F106" s="24" t="n">
        <f aca="false">IF(sel_costos=1,D106,E106)</f>
        <v>150</v>
      </c>
      <c r="G106" s="40"/>
    </row>
    <row r="107" customFormat="false" ht="15" hidden="false" customHeight="true" outlineLevel="0" collapsed="false">
      <c r="A107" s="3" t="s">
        <v>395</v>
      </c>
      <c r="B107" s="5" t="s">
        <v>396</v>
      </c>
      <c r="C107" s="3" t="s">
        <v>397</v>
      </c>
      <c r="D107" s="44" t="n">
        <v>3</v>
      </c>
      <c r="E107" s="44" t="n">
        <v>5</v>
      </c>
      <c r="F107" s="45" t="n">
        <f aca="false">IF(sel_costos=1,D107,E107)</f>
        <v>5</v>
      </c>
      <c r="G107" s="3" t="s">
        <v>398</v>
      </c>
    </row>
    <row r="108" customFormat="false" ht="15" hidden="false" customHeight="true" outlineLevel="0" collapsed="false">
      <c r="A108" s="3" t="s">
        <v>399</v>
      </c>
      <c r="B108" s="5" t="s">
        <v>400</v>
      </c>
      <c r="C108" s="3" t="s">
        <v>265</v>
      </c>
      <c r="D108" s="35" t="n">
        <v>120</v>
      </c>
      <c r="E108" s="35" t="n">
        <v>120</v>
      </c>
      <c r="F108" s="24" t="n">
        <f aca="false">IF(sel_costos=1,D108,E108)</f>
        <v>120</v>
      </c>
      <c r="G108" s="40"/>
    </row>
    <row r="109" customFormat="false" ht="15" hidden="false" customHeight="true" outlineLevel="0" collapsed="false">
      <c r="A109" s="3" t="s">
        <v>401</v>
      </c>
      <c r="B109" s="5" t="s">
        <v>402</v>
      </c>
      <c r="C109" s="3" t="s">
        <v>297</v>
      </c>
      <c r="D109" s="35" t="n">
        <v>4</v>
      </c>
      <c r="E109" s="35" t="n">
        <v>4</v>
      </c>
      <c r="F109" s="24" t="n">
        <f aca="false">IF(sel_costos=1,D109,E109)</f>
        <v>4</v>
      </c>
      <c r="G109" s="3" t="s">
        <v>403</v>
      </c>
    </row>
    <row r="110" customFormat="false" ht="15" hidden="false" customHeight="true" outlineLevel="0" collapsed="false">
      <c r="A110" s="3" t="s">
        <v>404</v>
      </c>
      <c r="B110" s="5" t="s">
        <v>405</v>
      </c>
      <c r="C110" s="3" t="s">
        <v>265</v>
      </c>
      <c r="D110" s="35" t="n">
        <v>30</v>
      </c>
      <c r="E110" s="35" t="n">
        <v>40</v>
      </c>
      <c r="F110" s="24" t="n">
        <f aca="false">IF(sel_costos=1,D110,E110)</f>
        <v>40</v>
      </c>
      <c r="G110" s="3" t="s">
        <v>406</v>
      </c>
    </row>
    <row r="111" customFormat="false" ht="15" hidden="false" customHeight="true" outlineLevel="0" collapsed="false">
      <c r="A111" s="3" t="s">
        <v>407</v>
      </c>
      <c r="B111" s="5" t="s">
        <v>408</v>
      </c>
      <c r="C111" s="3" t="s">
        <v>157</v>
      </c>
      <c r="D111" s="39" t="n">
        <v>380</v>
      </c>
      <c r="E111" s="39" t="n">
        <v>320</v>
      </c>
      <c r="F111" s="23" t="n">
        <f aca="false">IF(sel_costos=1,D111,E111)</f>
        <v>320</v>
      </c>
      <c r="G111" s="3" t="s">
        <v>409</v>
      </c>
    </row>
    <row r="112" customFormat="false" ht="15" hidden="false" customHeight="true" outlineLevel="0" collapsed="false">
      <c r="A112" s="3" t="s">
        <v>410</v>
      </c>
      <c r="B112" s="5" t="s">
        <v>411</v>
      </c>
      <c r="C112" s="3" t="s">
        <v>265</v>
      </c>
      <c r="D112" s="35" t="n">
        <v>15</v>
      </c>
      <c r="E112" s="35" t="n">
        <v>25</v>
      </c>
      <c r="F112" s="24" t="n">
        <f aca="false">IF(sel_costos=1,D112,E112)</f>
        <v>25</v>
      </c>
      <c r="G112" s="3" t="s">
        <v>412</v>
      </c>
    </row>
    <row r="113" customFormat="false" ht="15" hidden="false" customHeight="true" outlineLevel="0" collapsed="false">
      <c r="A113" s="3" t="s">
        <v>413</v>
      </c>
      <c r="B113" s="5" t="s">
        <v>414</v>
      </c>
      <c r="C113" s="3" t="s">
        <v>157</v>
      </c>
      <c r="D113" s="39" t="n">
        <v>140</v>
      </c>
      <c r="E113" s="39" t="n">
        <v>120</v>
      </c>
      <c r="F113" s="23" t="n">
        <f aca="false">IF(sel_costos=1,D113,E113)</f>
        <v>120</v>
      </c>
      <c r="G113" s="40"/>
    </row>
    <row r="114" customFormat="false" ht="15" hidden="false" customHeight="true" outlineLevel="0" collapsed="false">
      <c r="A114" s="3" t="s">
        <v>415</v>
      </c>
      <c r="B114" s="5" t="s">
        <v>416</v>
      </c>
      <c r="C114" s="3" t="s">
        <v>297</v>
      </c>
      <c r="D114" s="35" t="n">
        <v>2</v>
      </c>
      <c r="E114" s="35" t="n">
        <v>2</v>
      </c>
      <c r="F114" s="24" t="n">
        <f aca="false">IF(sel_costos=1,D114,E114)</f>
        <v>2</v>
      </c>
      <c r="G114" s="40"/>
    </row>
    <row r="115" customFormat="false" ht="15" hidden="false" customHeight="true" outlineLevel="0" collapsed="false">
      <c r="A115" s="3" t="s">
        <v>417</v>
      </c>
      <c r="B115" s="5" t="s">
        <v>418</v>
      </c>
      <c r="C115" s="3" t="s">
        <v>149</v>
      </c>
      <c r="D115" s="35" t="n">
        <v>8</v>
      </c>
      <c r="E115" s="35" t="n">
        <v>8</v>
      </c>
      <c r="F115" s="24" t="n">
        <f aca="false">IF(sel_costos=1,D115,E115)</f>
        <v>8</v>
      </c>
      <c r="G115" s="40"/>
    </row>
    <row r="116" customFormat="false" ht="15" hidden="false" customHeight="true" outlineLevel="0" collapsed="false">
      <c r="A116" s="3" t="s">
        <v>419</v>
      </c>
      <c r="B116" s="5" t="s">
        <v>420</v>
      </c>
      <c r="C116" s="3" t="s">
        <v>397</v>
      </c>
      <c r="D116" s="35" t="n">
        <v>150</v>
      </c>
      <c r="E116" s="35" t="n">
        <v>250</v>
      </c>
      <c r="F116" s="24" t="n">
        <f aca="false">IF(sel_costos=1,D116,E116)</f>
        <v>250</v>
      </c>
      <c r="G116" s="3" t="s">
        <v>421</v>
      </c>
    </row>
    <row r="117" customFormat="false" ht="15" hidden="false" customHeight="true" outlineLevel="0" collapsed="false">
      <c r="A117" s="3" t="s">
        <v>422</v>
      </c>
      <c r="B117" s="5" t="s">
        <v>423</v>
      </c>
      <c r="C117" s="3" t="s">
        <v>127</v>
      </c>
      <c r="D117" s="32" t="n">
        <v>0.35</v>
      </c>
      <c r="E117" s="32" t="n">
        <v>0.3</v>
      </c>
      <c r="F117" s="25" t="n">
        <f aca="false">IF(sel_costos=1,D117,E117)</f>
        <v>0.3</v>
      </c>
      <c r="G117" s="40"/>
    </row>
    <row r="118" customFormat="false" ht="15" hidden="false" customHeight="true" outlineLevel="0" collapsed="false">
      <c r="A118" s="3" t="s">
        <v>424</v>
      </c>
      <c r="B118" s="5" t="s">
        <v>425</v>
      </c>
      <c r="C118" s="3" t="s">
        <v>127</v>
      </c>
      <c r="D118" s="32" t="n">
        <v>0.17</v>
      </c>
      <c r="E118" s="32" t="n">
        <v>0.17</v>
      </c>
      <c r="F118" s="25" t="n">
        <f aca="false">IF(sel_costos=1,D118,E118)</f>
        <v>0.17</v>
      </c>
      <c r="G118" s="3" t="s">
        <v>426</v>
      </c>
    </row>
    <row r="119" customFormat="false" ht="15" hidden="false" customHeight="true" outlineLevel="0" collapsed="false">
      <c r="A119" s="3" t="s">
        <v>427</v>
      </c>
      <c r="B119" s="5" t="s">
        <v>428</v>
      </c>
      <c r="C119" s="3" t="s">
        <v>184</v>
      </c>
      <c r="D119" s="39" t="n">
        <v>95</v>
      </c>
      <c r="E119" s="39" t="n">
        <v>85</v>
      </c>
      <c r="F119" s="23" t="n">
        <f aca="false">IF(sel_costos=1,D119,E119)</f>
        <v>85</v>
      </c>
      <c r="G119" s="3" t="s">
        <v>227</v>
      </c>
    </row>
    <row r="120" customFormat="false" ht="15" hidden="false" customHeight="true" outlineLevel="0" collapsed="false">
      <c r="A120" s="3" t="s">
        <v>429</v>
      </c>
      <c r="B120" s="5" t="s">
        <v>430</v>
      </c>
      <c r="C120" s="3" t="s">
        <v>127</v>
      </c>
      <c r="D120" s="32" t="n">
        <v>0.08</v>
      </c>
      <c r="E120" s="32" t="n">
        <v>0.06</v>
      </c>
      <c r="F120" s="25" t="n">
        <f aca="false">IF(sel_costos=1,D120,E120)</f>
        <v>0.06</v>
      </c>
      <c r="G120" s="40"/>
    </row>
    <row r="121" customFormat="false" ht="15" hidden="false" customHeight="true" outlineLevel="0" collapsed="false">
      <c r="A121" s="3" t="s">
        <v>431</v>
      </c>
      <c r="B121" s="5" t="s">
        <v>432</v>
      </c>
      <c r="C121" s="3" t="s">
        <v>297</v>
      </c>
      <c r="D121" s="35" t="n">
        <v>2</v>
      </c>
      <c r="E121" s="35" t="n">
        <v>2</v>
      </c>
      <c r="F121" s="24" t="n">
        <f aca="false">IF(sel_costos=1,D121,E121)</f>
        <v>2</v>
      </c>
      <c r="G121" s="40"/>
    </row>
    <row r="122" customFormat="false" ht="15" hidden="false" customHeight="true" outlineLevel="0" collapsed="false">
      <c r="A122" s="3" t="s">
        <v>433</v>
      </c>
      <c r="B122" s="5" t="s">
        <v>434</v>
      </c>
      <c r="C122" s="3" t="s">
        <v>435</v>
      </c>
      <c r="D122" s="35" t="n">
        <v>2</v>
      </c>
      <c r="E122" s="35" t="n">
        <v>4</v>
      </c>
      <c r="F122" s="24" t="n">
        <f aca="false">IF(sel_costos=1,D122,E122)</f>
        <v>4</v>
      </c>
      <c r="G122" s="40"/>
    </row>
    <row r="123" customFormat="false" ht="15" hidden="false" customHeight="true" outlineLevel="0" collapsed="false">
      <c r="A123" s="3" t="s">
        <v>436</v>
      </c>
      <c r="B123" s="5" t="s">
        <v>437</v>
      </c>
      <c r="C123" s="3" t="s">
        <v>438</v>
      </c>
      <c r="D123" s="35" t="n">
        <v>10</v>
      </c>
      <c r="E123" s="35" t="n">
        <v>12</v>
      </c>
      <c r="F123" s="24" t="n">
        <f aca="false">IF(sel_costos=1,D123,E123)</f>
        <v>12</v>
      </c>
      <c r="G123" s="40"/>
    </row>
    <row r="124" customFormat="false" ht="15" hidden="false" customHeight="true" outlineLevel="0" collapsed="false">
      <c r="A124" s="3" t="s">
        <v>439</v>
      </c>
      <c r="B124" s="5" t="s">
        <v>440</v>
      </c>
      <c r="C124" s="3" t="s">
        <v>188</v>
      </c>
      <c r="D124" s="39" t="n">
        <v>160</v>
      </c>
      <c r="E124" s="39" t="n">
        <v>140</v>
      </c>
      <c r="F124" s="23" t="n">
        <f aca="false">IF(sel_costos=1,D124,E124)</f>
        <v>140</v>
      </c>
      <c r="G124" s="40"/>
    </row>
    <row r="125" customFormat="false" ht="15" hidden="false" customHeight="true" outlineLevel="0" collapsed="false">
      <c r="A125" s="3" t="s">
        <v>441</v>
      </c>
      <c r="B125" s="5" t="s">
        <v>442</v>
      </c>
      <c r="C125" s="3" t="s">
        <v>443</v>
      </c>
      <c r="D125" s="39" t="n">
        <v>1500</v>
      </c>
      <c r="E125" s="39" t="n">
        <v>1500</v>
      </c>
      <c r="F125" s="23" t="n">
        <f aca="false">IF(sel_costos=1,D125,E125)</f>
        <v>1500</v>
      </c>
      <c r="G125" s="40"/>
    </row>
    <row r="126" customFormat="false" ht="15" hidden="false" customHeight="true" outlineLevel="0" collapsed="false">
      <c r="A126" s="28" t="s">
        <v>444</v>
      </c>
      <c r="B126" s="29"/>
      <c r="C126" s="29"/>
      <c r="D126" s="29"/>
      <c r="E126" s="29"/>
      <c r="F126" s="29"/>
      <c r="G126" s="29"/>
    </row>
    <row r="127" customFormat="false" ht="15" hidden="false" customHeight="true" outlineLevel="0" collapsed="false">
      <c r="A127" s="3" t="s">
        <v>445</v>
      </c>
      <c r="B127" s="5" t="s">
        <v>446</v>
      </c>
      <c r="C127" s="3" t="s">
        <v>127</v>
      </c>
      <c r="D127" s="32" t="n">
        <v>0.015</v>
      </c>
      <c r="E127" s="32" t="n">
        <v>0.01</v>
      </c>
      <c r="F127" s="25" t="n">
        <f aca="false">IF(sel_costos=1,D127,E127)</f>
        <v>0.01</v>
      </c>
      <c r="G127" s="40"/>
    </row>
    <row r="128" customFormat="false" ht="15" hidden="false" customHeight="true" outlineLevel="0" collapsed="false">
      <c r="A128" s="3" t="s">
        <v>447</v>
      </c>
      <c r="B128" s="5" t="s">
        <v>448</v>
      </c>
      <c r="C128" s="3" t="s">
        <v>449</v>
      </c>
      <c r="D128" s="32" t="n">
        <v>0.04</v>
      </c>
      <c r="E128" s="32" t="n">
        <v>0.04</v>
      </c>
      <c r="F128" s="25" t="n">
        <f aca="false">IF(sel_costos=1,D128,E128)</f>
        <v>0.04</v>
      </c>
      <c r="G128" s="3" t="s">
        <v>450</v>
      </c>
    </row>
    <row r="129" customFormat="false" ht="15" hidden="false" customHeight="true" outlineLevel="0" collapsed="false">
      <c r="A129" s="3" t="s">
        <v>451</v>
      </c>
      <c r="B129" s="5" t="s">
        <v>452</v>
      </c>
      <c r="C129" s="3" t="s">
        <v>453</v>
      </c>
      <c r="D129" s="38" t="n">
        <v>0.8</v>
      </c>
      <c r="E129" s="38" t="n">
        <v>0.8</v>
      </c>
      <c r="F129" s="37" t="n">
        <f aca="false">IF(sel_costos=1,D129,E129)</f>
        <v>0.8</v>
      </c>
      <c r="G129" s="3" t="s">
        <v>227</v>
      </c>
    </row>
    <row r="130" customFormat="false" ht="15" hidden="false" customHeight="true" outlineLevel="0" collapsed="false">
      <c r="A130" s="3" t="s">
        <v>454</v>
      </c>
      <c r="B130" s="5" t="s">
        <v>455</v>
      </c>
      <c r="C130" s="3" t="s">
        <v>456</v>
      </c>
      <c r="D130" s="32" t="n">
        <v>0.04</v>
      </c>
      <c r="E130" s="32" t="n">
        <v>0.035</v>
      </c>
      <c r="F130" s="25" t="n">
        <f aca="false">IF(sel_costos=1,D130,E130)</f>
        <v>0.035</v>
      </c>
      <c r="G130" s="40"/>
    </row>
    <row r="131" customFormat="false" ht="15" hidden="false" customHeight="true" outlineLevel="0" collapsed="false">
      <c r="A131" s="3" t="s">
        <v>457</v>
      </c>
      <c r="B131" s="5" t="s">
        <v>458</v>
      </c>
      <c r="C131" s="3" t="s">
        <v>459</v>
      </c>
      <c r="D131" s="32" t="n">
        <v>0.03</v>
      </c>
      <c r="E131" s="32" t="n">
        <v>0.03</v>
      </c>
      <c r="F131" s="25" t="n">
        <f aca="false">IF(sel_costos=1,D131,E131)</f>
        <v>0.03</v>
      </c>
      <c r="G131" s="40"/>
    </row>
    <row r="132" customFormat="false" ht="15" hidden="false" customHeight="true" outlineLevel="0" collapsed="false">
      <c r="A132" s="3" t="s">
        <v>460</v>
      </c>
      <c r="B132" s="5" t="s">
        <v>461</v>
      </c>
      <c r="C132" s="3" t="s">
        <v>127</v>
      </c>
      <c r="D132" s="32" t="n">
        <v>0.025</v>
      </c>
      <c r="E132" s="32" t="n">
        <v>0.025</v>
      </c>
      <c r="F132" s="25" t="n">
        <f aca="false">IF(sel_costos=1,D132,E132)</f>
        <v>0.025</v>
      </c>
      <c r="G132" s="40"/>
    </row>
    <row r="133" customFormat="false" ht="15" hidden="false" customHeight="true" outlineLevel="0" collapsed="false">
      <c r="A133" s="28" t="s">
        <v>462</v>
      </c>
      <c r="B133" s="29"/>
      <c r="C133" s="29"/>
      <c r="D133" s="29"/>
      <c r="E133" s="29"/>
      <c r="F133" s="29"/>
      <c r="G133" s="29"/>
    </row>
    <row r="134" customFormat="false" ht="15" hidden="false" customHeight="true" outlineLevel="0" collapsed="false">
      <c r="A134" s="3" t="s">
        <v>463</v>
      </c>
      <c r="B134" s="5" t="s">
        <v>464</v>
      </c>
      <c r="C134" s="3" t="s">
        <v>301</v>
      </c>
      <c r="D134" s="39" t="n">
        <v>25000</v>
      </c>
      <c r="E134" s="39" t="n">
        <v>25000</v>
      </c>
      <c r="F134" s="23" t="n">
        <f aca="false">IF(sel_costos=1,D134,E134)</f>
        <v>25000</v>
      </c>
      <c r="G134" s="40"/>
    </row>
    <row r="135" customFormat="false" ht="15" hidden="false" customHeight="true" outlineLevel="0" collapsed="false">
      <c r="A135" s="3" t="s">
        <v>465</v>
      </c>
      <c r="B135" s="5" t="s">
        <v>466</v>
      </c>
      <c r="C135" s="3" t="s">
        <v>301</v>
      </c>
      <c r="D135" s="39" t="n">
        <v>20000</v>
      </c>
      <c r="E135" s="39" t="n">
        <v>20000</v>
      </c>
      <c r="F135" s="23" t="n">
        <f aca="false">IF(sel_costos=1,D135,E135)</f>
        <v>20000</v>
      </c>
      <c r="G135" s="40"/>
    </row>
    <row r="136" customFormat="false" ht="15" hidden="false" customHeight="true" outlineLevel="0" collapsed="false">
      <c r="A136" s="3" t="s">
        <v>467</v>
      </c>
      <c r="B136" s="5" t="s">
        <v>468</v>
      </c>
      <c r="C136" s="3" t="s">
        <v>301</v>
      </c>
      <c r="D136" s="39" t="n">
        <v>12000</v>
      </c>
      <c r="E136" s="39" t="n">
        <v>12000</v>
      </c>
      <c r="F136" s="23" t="n">
        <f aca="false">IF(sel_costos=1,D136,E136)</f>
        <v>12000</v>
      </c>
      <c r="G136" s="40"/>
    </row>
    <row r="137" customFormat="false" ht="15" hidden="false" customHeight="true" outlineLevel="0" collapsed="false">
      <c r="A137" s="3" t="s">
        <v>469</v>
      </c>
      <c r="B137" s="5" t="s">
        <v>470</v>
      </c>
      <c r="C137" s="3" t="s">
        <v>301</v>
      </c>
      <c r="D137" s="39" t="n">
        <v>10000</v>
      </c>
      <c r="E137" s="39" t="n">
        <v>10000</v>
      </c>
      <c r="F137" s="23" t="n">
        <f aca="false">IF(sel_costos=1,D137,E137)</f>
        <v>10000</v>
      </c>
      <c r="G137" s="40"/>
    </row>
    <row r="138" customFormat="false" ht="15" hidden="false" customHeight="true" outlineLevel="0" collapsed="false">
      <c r="A138" s="3" t="s">
        <v>471</v>
      </c>
      <c r="B138" s="5" t="s">
        <v>472</v>
      </c>
      <c r="C138" s="3" t="s">
        <v>297</v>
      </c>
      <c r="D138" s="35" t="n">
        <v>3</v>
      </c>
      <c r="E138" s="35" t="n">
        <v>3</v>
      </c>
      <c r="F138" s="24" t="n">
        <f aca="false">IF(sel_costos=1,D138,E138)</f>
        <v>3</v>
      </c>
      <c r="G138" s="40"/>
    </row>
    <row r="139" customFormat="false" ht="15" hidden="false" customHeight="true" outlineLevel="0" collapsed="false">
      <c r="A139" s="3" t="s">
        <v>473</v>
      </c>
      <c r="B139" s="5" t="s">
        <v>474</v>
      </c>
      <c r="C139" s="3" t="s">
        <v>301</v>
      </c>
      <c r="D139" s="39" t="n">
        <v>16000</v>
      </c>
      <c r="E139" s="39" t="n">
        <v>16000</v>
      </c>
      <c r="F139" s="23" t="n">
        <f aca="false">IF(sel_costos=1,D139,E139)</f>
        <v>16000</v>
      </c>
      <c r="G139" s="40"/>
    </row>
    <row r="140" customFormat="false" ht="15" hidden="false" customHeight="true" outlineLevel="0" collapsed="false">
      <c r="A140" s="3" t="s">
        <v>475</v>
      </c>
      <c r="B140" s="5" t="s">
        <v>476</v>
      </c>
      <c r="C140" s="3" t="s">
        <v>301</v>
      </c>
      <c r="D140" s="39" t="n">
        <v>5000</v>
      </c>
      <c r="E140" s="39" t="n">
        <v>5000</v>
      </c>
      <c r="F140" s="23" t="n">
        <f aca="false">IF(sel_costos=1,D140,E140)</f>
        <v>5000</v>
      </c>
      <c r="G140" s="40"/>
    </row>
    <row r="141" customFormat="false" ht="15" hidden="false" customHeight="true" outlineLevel="0" collapsed="false">
      <c r="A141" s="3" t="s">
        <v>477</v>
      </c>
      <c r="B141" s="5" t="s">
        <v>478</v>
      </c>
      <c r="C141" s="3" t="s">
        <v>301</v>
      </c>
      <c r="D141" s="39" t="n">
        <v>4000</v>
      </c>
      <c r="E141" s="39" t="n">
        <v>4000</v>
      </c>
      <c r="F141" s="23" t="n">
        <f aca="false">IF(sel_costos=1,D141,E141)</f>
        <v>4000</v>
      </c>
      <c r="G141" s="40"/>
    </row>
    <row r="142" customFormat="false" ht="15" hidden="false" customHeight="true" outlineLevel="0" collapsed="false">
      <c r="A142" s="3" t="s">
        <v>479</v>
      </c>
      <c r="B142" s="5" t="s">
        <v>480</v>
      </c>
      <c r="C142" s="3" t="s">
        <v>301</v>
      </c>
      <c r="D142" s="39" t="n">
        <v>3000</v>
      </c>
      <c r="E142" s="39" t="n">
        <v>3000</v>
      </c>
      <c r="F142" s="23" t="n">
        <f aca="false">IF(sel_costos=1,D142,E142)</f>
        <v>3000</v>
      </c>
      <c r="G142" s="40"/>
    </row>
    <row r="143" customFormat="false" ht="15" hidden="false" customHeight="true" outlineLevel="0" collapsed="false">
      <c r="A143" s="3" t="s">
        <v>481</v>
      </c>
      <c r="B143" s="5" t="s">
        <v>482</v>
      </c>
      <c r="C143" s="3" t="s">
        <v>301</v>
      </c>
      <c r="D143" s="39" t="n">
        <v>1800</v>
      </c>
      <c r="E143" s="39" t="n">
        <v>1800</v>
      </c>
      <c r="F143" s="23" t="n">
        <f aca="false">IF(sel_costos=1,D143,E143)</f>
        <v>1800</v>
      </c>
      <c r="G143" s="40"/>
    </row>
    <row r="144" customFormat="false" ht="15" hidden="false" customHeight="true" outlineLevel="0" collapsed="false">
      <c r="A144" s="3" t="s">
        <v>483</v>
      </c>
      <c r="B144" s="5" t="s">
        <v>484</v>
      </c>
      <c r="C144" s="3" t="s">
        <v>301</v>
      </c>
      <c r="D144" s="39" t="n">
        <v>2000</v>
      </c>
      <c r="E144" s="39" t="n">
        <v>2000</v>
      </c>
      <c r="F144" s="23" t="n">
        <f aca="false">IF(sel_costos=1,D144,E144)</f>
        <v>2000</v>
      </c>
      <c r="G144" s="40"/>
    </row>
    <row r="145" customFormat="false" ht="15" hidden="false" customHeight="true" outlineLevel="0" collapsed="false">
      <c r="A145" s="3" t="s">
        <v>485</v>
      </c>
      <c r="B145" s="5" t="s">
        <v>486</v>
      </c>
      <c r="C145" s="3" t="s">
        <v>301</v>
      </c>
      <c r="D145" s="39" t="n">
        <v>4000</v>
      </c>
      <c r="E145" s="39" t="n">
        <v>3000</v>
      </c>
      <c r="F145" s="23" t="n">
        <f aca="false">IF(sel_costos=1,D145,E145)</f>
        <v>3000</v>
      </c>
      <c r="G145" s="40"/>
    </row>
    <row r="146" customFormat="false" ht="15" hidden="false" customHeight="true" outlineLevel="0" collapsed="false">
      <c r="A146" s="28" t="s">
        <v>487</v>
      </c>
      <c r="B146" s="29"/>
      <c r="C146" s="29"/>
      <c r="D146" s="29"/>
      <c r="E146" s="29"/>
      <c r="F146" s="29"/>
      <c r="G146" s="29"/>
    </row>
    <row r="147" customFormat="false" ht="15" hidden="false" customHeight="true" outlineLevel="0" collapsed="false">
      <c r="A147" s="3" t="s">
        <v>488</v>
      </c>
      <c r="B147" s="5" t="s">
        <v>489</v>
      </c>
      <c r="C147" s="3" t="s">
        <v>490</v>
      </c>
      <c r="D147" s="39" t="n">
        <v>35000</v>
      </c>
      <c r="E147" s="39" t="n">
        <v>35000</v>
      </c>
      <c r="F147" s="23" t="n">
        <f aca="false">IF(sel_costos=1,D147,E147)</f>
        <v>35000</v>
      </c>
      <c r="G147" s="40"/>
    </row>
    <row r="148" customFormat="false" ht="15" hidden="false" customHeight="true" outlineLevel="0" collapsed="false">
      <c r="A148" s="3" t="s">
        <v>491</v>
      </c>
      <c r="B148" s="5" t="s">
        <v>492</v>
      </c>
      <c r="C148" s="3" t="s">
        <v>490</v>
      </c>
      <c r="D148" s="39" t="n">
        <v>25000</v>
      </c>
      <c r="E148" s="39" t="n">
        <v>25000</v>
      </c>
      <c r="F148" s="23" t="n">
        <f aca="false">IF(sel_costos=1,D148,E148)</f>
        <v>25000</v>
      </c>
      <c r="G148" s="40"/>
    </row>
    <row r="149" customFormat="false" ht="15" hidden="false" customHeight="true" outlineLevel="0" collapsed="false">
      <c r="A149" s="3" t="s">
        <v>493</v>
      </c>
      <c r="B149" s="5" t="s">
        <v>494</v>
      </c>
      <c r="C149" s="3" t="s">
        <v>490</v>
      </c>
      <c r="D149" s="39" t="n">
        <v>15000</v>
      </c>
      <c r="E149" s="39" t="n">
        <v>15000</v>
      </c>
      <c r="F149" s="23" t="n">
        <f aca="false">IF(sel_costos=1,D149,E149)</f>
        <v>15000</v>
      </c>
      <c r="G149" s="40"/>
    </row>
    <row r="150" customFormat="false" ht="15" hidden="false" customHeight="true" outlineLevel="0" collapsed="false">
      <c r="A150" s="3" t="s">
        <v>495</v>
      </c>
      <c r="B150" s="5" t="s">
        <v>496</v>
      </c>
      <c r="C150" s="3" t="s">
        <v>490</v>
      </c>
      <c r="D150" s="39" t="n">
        <v>8000</v>
      </c>
      <c r="E150" s="39" t="n">
        <v>8000</v>
      </c>
      <c r="F150" s="23" t="n">
        <f aca="false">IF(sel_costos=1,D150,E150)</f>
        <v>8000</v>
      </c>
      <c r="G150" s="40"/>
    </row>
    <row r="151" customFormat="false" ht="15" hidden="false" customHeight="true" outlineLevel="0" collapsed="false">
      <c r="A151" s="28" t="s">
        <v>497</v>
      </c>
      <c r="B151" s="29"/>
      <c r="C151" s="29"/>
      <c r="D151" s="29"/>
      <c r="E151" s="29"/>
      <c r="F151" s="29"/>
      <c r="G151" s="29"/>
    </row>
    <row r="152" customFormat="false" ht="15" hidden="false" customHeight="true" outlineLevel="0" collapsed="false">
      <c r="A152" s="3" t="s">
        <v>498</v>
      </c>
      <c r="B152" s="5" t="s">
        <v>499</v>
      </c>
      <c r="C152" s="3" t="s">
        <v>500</v>
      </c>
      <c r="D152" s="35" t="n">
        <v>2</v>
      </c>
      <c r="E152" s="35" t="n">
        <v>2</v>
      </c>
      <c r="F152" s="24" t="n">
        <f aca="false">IF(sel_costos=1,D152,E152)</f>
        <v>2</v>
      </c>
      <c r="G152" s="40"/>
    </row>
    <row r="153" customFormat="false" ht="15" hidden="false" customHeight="true" outlineLevel="0" collapsed="false">
      <c r="A153" s="3" t="s">
        <v>501</v>
      </c>
      <c r="B153" s="5" t="s">
        <v>502</v>
      </c>
      <c r="C153" s="3" t="s">
        <v>500</v>
      </c>
      <c r="D153" s="35" t="n">
        <v>5</v>
      </c>
      <c r="E153" s="35" t="n">
        <v>5</v>
      </c>
      <c r="F153" s="24" t="n">
        <f aca="false">IF(sel_costos=1,D153,E153)</f>
        <v>5</v>
      </c>
      <c r="G153" s="40"/>
    </row>
    <row r="154" customFormat="false" ht="15" hidden="false" customHeight="true" outlineLevel="0" collapsed="false">
      <c r="A154" s="3" t="s">
        <v>503</v>
      </c>
      <c r="B154" s="5" t="s">
        <v>504</v>
      </c>
      <c r="C154" s="3" t="s">
        <v>145</v>
      </c>
      <c r="D154" s="35" t="n">
        <v>30</v>
      </c>
      <c r="E154" s="35" t="n">
        <v>30</v>
      </c>
      <c r="F154" s="24" t="n">
        <f aca="false">IF(sel_costos=1,D154,E154)</f>
        <v>30</v>
      </c>
      <c r="G154" s="3" t="s">
        <v>505</v>
      </c>
    </row>
    <row r="155" customFormat="false" ht="15" hidden="false" customHeight="true" outlineLevel="0" collapsed="false">
      <c r="A155" s="3" t="s">
        <v>506</v>
      </c>
      <c r="B155" s="5" t="s">
        <v>507</v>
      </c>
      <c r="C155" s="3" t="s">
        <v>145</v>
      </c>
      <c r="D155" s="35" t="n">
        <v>15</v>
      </c>
      <c r="E155" s="35" t="n">
        <v>15</v>
      </c>
      <c r="F155" s="24" t="n">
        <f aca="false">IF(sel_costos=1,D155,E155)</f>
        <v>15</v>
      </c>
      <c r="G155" s="40"/>
    </row>
    <row r="156" customFormat="false" ht="15" hidden="false" customHeight="true" outlineLevel="0" collapsed="false">
      <c r="A156" s="3" t="s">
        <v>508</v>
      </c>
      <c r="B156" s="5" t="s">
        <v>509</v>
      </c>
      <c r="C156" s="3" t="s">
        <v>145</v>
      </c>
      <c r="D156" s="35" t="n">
        <v>30</v>
      </c>
      <c r="E156" s="35" t="n">
        <v>20</v>
      </c>
      <c r="F156" s="24" t="n">
        <f aca="false">IF(sel_costos=1,D156,E156)</f>
        <v>20</v>
      </c>
      <c r="G156" s="40"/>
    </row>
    <row r="157" customFormat="false" ht="15" hidden="false" customHeight="true" outlineLevel="0" collapsed="false">
      <c r="A157" s="3" t="s">
        <v>510</v>
      </c>
      <c r="B157" s="5" t="s">
        <v>511</v>
      </c>
      <c r="C157" s="3" t="s">
        <v>145</v>
      </c>
      <c r="D157" s="35" t="n">
        <v>15</v>
      </c>
      <c r="E157" s="35" t="n">
        <v>30</v>
      </c>
      <c r="F157" s="24" t="n">
        <f aca="false">IF(sel_costos=1,D157,E157)</f>
        <v>30</v>
      </c>
      <c r="G157" s="40"/>
    </row>
    <row r="158" customFormat="false" ht="15" hidden="false" customHeight="true" outlineLevel="0" collapsed="false">
      <c r="A158" s="3" t="s">
        <v>512</v>
      </c>
      <c r="B158" s="5" t="s">
        <v>513</v>
      </c>
      <c r="C158" s="3" t="s">
        <v>490</v>
      </c>
      <c r="D158" s="39" t="n">
        <v>50000</v>
      </c>
      <c r="E158" s="39" t="n">
        <v>50000</v>
      </c>
      <c r="F158" s="23" t="n">
        <f aca="false">IF(sel_costos=1,D158,E158)</f>
        <v>50000</v>
      </c>
      <c r="G158" s="40"/>
    </row>
    <row r="159" customFormat="false" ht="15" hidden="false" customHeight="true" outlineLevel="0" collapsed="false">
      <c r="A159" s="28" t="s">
        <v>514</v>
      </c>
      <c r="B159" s="29"/>
      <c r="C159" s="29"/>
      <c r="D159" s="29"/>
      <c r="E159" s="29"/>
      <c r="F159" s="29"/>
      <c r="G159" s="29"/>
    </row>
    <row r="160" customFormat="false" ht="15" hidden="false" customHeight="true" outlineLevel="0" collapsed="false">
      <c r="A160" s="3" t="s">
        <v>515</v>
      </c>
      <c r="B160" s="5" t="s">
        <v>516</v>
      </c>
      <c r="C160" s="3" t="s">
        <v>265</v>
      </c>
      <c r="D160" s="44" t="n">
        <v>1</v>
      </c>
      <c r="E160" s="44" t="n">
        <v>1</v>
      </c>
      <c r="F160" s="45" t="n">
        <f aca="false">IF(sel_costos=1,D160,E160)</f>
        <v>1</v>
      </c>
      <c r="G160" s="3" t="s">
        <v>517</v>
      </c>
    </row>
    <row r="162" customFormat="false" ht="15" hidden="false" customHeight="true" outlineLevel="0" collapsed="false">
      <c r="A162" s="28" t="s">
        <v>518</v>
      </c>
      <c r="B162" s="29"/>
      <c r="C162" s="29"/>
      <c r="D162" s="29"/>
      <c r="E162" s="29"/>
      <c r="F162" s="29"/>
      <c r="G162" s="29"/>
    </row>
    <row r="163" customFormat="false" ht="15" hidden="false" customHeight="true" outlineLevel="0" collapsed="false">
      <c r="A163" s="17" t="s">
        <v>107</v>
      </c>
      <c r="B163" s="18" t="s">
        <v>108</v>
      </c>
      <c r="C163" s="18" t="s">
        <v>109</v>
      </c>
      <c r="D163" s="18" t="s">
        <v>519</v>
      </c>
      <c r="E163" s="18" t="s">
        <v>520</v>
      </c>
      <c r="F163" s="18" t="s">
        <v>521</v>
      </c>
      <c r="G163" s="18" t="s">
        <v>110</v>
      </c>
    </row>
    <row r="164" customFormat="false" ht="15" hidden="false" customHeight="true" outlineLevel="0" collapsed="false">
      <c r="A164" s="3" t="s">
        <v>522</v>
      </c>
      <c r="B164" s="5" t="s">
        <v>523</v>
      </c>
      <c r="C164" s="3" t="s">
        <v>306</v>
      </c>
      <c r="D164" s="43" t="n">
        <v>300</v>
      </c>
      <c r="E164" s="43" t="n">
        <v>500</v>
      </c>
      <c r="F164" s="43" t="n">
        <v>800</v>
      </c>
      <c r="G164" s="24" t="n">
        <f aca="false">CHOOSE(sel_vol,D164,E164,F164)</f>
        <v>500</v>
      </c>
    </row>
    <row r="165" customFormat="false" ht="15" hidden="false" customHeight="true" outlineLevel="0" collapsed="false">
      <c r="A165" s="3" t="s">
        <v>524</v>
      </c>
      <c r="B165" s="5" t="s">
        <v>525</v>
      </c>
      <c r="C165" s="3" t="s">
        <v>265</v>
      </c>
      <c r="D165" s="46" t="n">
        <v>5</v>
      </c>
      <c r="E165" s="46" t="n">
        <v>8</v>
      </c>
      <c r="F165" s="46" t="n">
        <v>12</v>
      </c>
      <c r="G165" s="45" t="n">
        <f aca="false">CHOOSE(sel_vol,D165,E165,F165)</f>
        <v>8</v>
      </c>
    </row>
    <row r="167" customFormat="false" ht="15" hidden="false" customHeight="true" outlineLevel="0" collapsed="false">
      <c r="A167" s="28" t="s">
        <v>526</v>
      </c>
      <c r="B167" s="29"/>
      <c r="C167" s="29"/>
      <c r="D167" s="29"/>
      <c r="E167" s="29"/>
      <c r="F167" s="29"/>
      <c r="G167" s="29"/>
    </row>
    <row r="168" customFormat="false" ht="15" hidden="false" customHeight="true" outlineLevel="0" collapsed="false">
      <c r="A168" s="17"/>
      <c r="B168" s="18" t="s">
        <v>527</v>
      </c>
      <c r="C168" s="18" t="s">
        <v>528</v>
      </c>
      <c r="D168" s="18" t="s">
        <v>529</v>
      </c>
      <c r="E168" s="18" t="s">
        <v>530</v>
      </c>
      <c r="F168" s="18" t="s">
        <v>531</v>
      </c>
      <c r="G168" s="18" t="s">
        <v>532</v>
      </c>
    </row>
    <row r="169" customFormat="false" ht="15" hidden="false" customHeight="true" outlineLevel="0" collapsed="false">
      <c r="B169" s="5" t="n">
        <v>1</v>
      </c>
      <c r="C169" s="5" t="s">
        <v>533</v>
      </c>
      <c r="D169" s="30" t="n">
        <v>0.8</v>
      </c>
      <c r="E169" s="35" t="n">
        <v>0</v>
      </c>
      <c r="F169" s="47" t="n">
        <f aca="false">D169/AVERAGE($D$169:$D$180)</f>
        <v>0.75</v>
      </c>
      <c r="G169" s="40"/>
    </row>
    <row r="170" customFormat="false" ht="15" hidden="false" customHeight="true" outlineLevel="0" collapsed="false">
      <c r="B170" s="5" t="n">
        <v>2</v>
      </c>
      <c r="C170" s="5" t="s">
        <v>534</v>
      </c>
      <c r="D170" s="30" t="n">
        <v>0.85</v>
      </c>
      <c r="E170" s="35" t="n">
        <v>0</v>
      </c>
      <c r="F170" s="47" t="n">
        <f aca="false">D170/AVERAGE($D$169:$D$180)</f>
        <v>0.796875</v>
      </c>
      <c r="G170" s="3" t="s">
        <v>535</v>
      </c>
    </row>
    <row r="171" customFormat="false" ht="15" hidden="false" customHeight="true" outlineLevel="0" collapsed="false">
      <c r="B171" s="5" t="n">
        <v>3</v>
      </c>
      <c r="C171" s="5" t="s">
        <v>536</v>
      </c>
      <c r="D171" s="30" t="n">
        <v>0.95</v>
      </c>
      <c r="E171" s="35" t="n">
        <v>0</v>
      </c>
      <c r="F171" s="47" t="n">
        <f aca="false">D171/AVERAGE($D$169:$D$180)</f>
        <v>0.890625</v>
      </c>
      <c r="G171" s="40"/>
    </row>
    <row r="172" customFormat="false" ht="15" hidden="false" customHeight="true" outlineLevel="0" collapsed="false">
      <c r="B172" s="5" t="n">
        <v>4</v>
      </c>
      <c r="C172" s="5" t="s">
        <v>537</v>
      </c>
      <c r="D172" s="30" t="n">
        <v>1</v>
      </c>
      <c r="E172" s="35" t="n">
        <v>0</v>
      </c>
      <c r="F172" s="47" t="n">
        <f aca="false">D172/AVERAGE($D$169:$D$180)</f>
        <v>0.9375</v>
      </c>
      <c r="G172" s="3" t="s">
        <v>538</v>
      </c>
    </row>
    <row r="173" customFormat="false" ht="15" hidden="false" customHeight="true" outlineLevel="0" collapsed="false">
      <c r="B173" s="5" t="n">
        <v>5</v>
      </c>
      <c r="C173" s="5" t="s">
        <v>539</v>
      </c>
      <c r="D173" s="30" t="n">
        <v>0.95</v>
      </c>
      <c r="E173" s="35" t="n">
        <v>0</v>
      </c>
      <c r="F173" s="47" t="n">
        <f aca="false">D173/AVERAGE($D$169:$D$180)</f>
        <v>0.890625</v>
      </c>
      <c r="G173" s="3" t="s">
        <v>540</v>
      </c>
    </row>
    <row r="174" customFormat="false" ht="15" hidden="false" customHeight="true" outlineLevel="0" collapsed="false">
      <c r="B174" s="5" t="n">
        <v>6</v>
      </c>
      <c r="C174" s="5" t="s">
        <v>541</v>
      </c>
      <c r="D174" s="30" t="n">
        <v>0.8</v>
      </c>
      <c r="E174" s="35" t="n">
        <v>0</v>
      </c>
      <c r="F174" s="47" t="n">
        <f aca="false">D174/AVERAGE($D$169:$D$180)</f>
        <v>0.75</v>
      </c>
      <c r="G174" s="40"/>
    </row>
    <row r="175" customFormat="false" ht="15" hidden="false" customHeight="true" outlineLevel="0" collapsed="false">
      <c r="B175" s="5" t="n">
        <v>7</v>
      </c>
      <c r="C175" s="5" t="s">
        <v>542</v>
      </c>
      <c r="D175" s="30" t="n">
        <v>0.8</v>
      </c>
      <c r="E175" s="35" t="n">
        <v>0</v>
      </c>
      <c r="F175" s="47" t="n">
        <f aca="false">D175/AVERAGE($D$169:$D$180)</f>
        <v>0.75</v>
      </c>
      <c r="G175" s="40"/>
    </row>
    <row r="176" customFormat="false" ht="15" hidden="false" customHeight="true" outlineLevel="0" collapsed="false">
      <c r="B176" s="5" t="n">
        <v>8</v>
      </c>
      <c r="C176" s="5" t="s">
        <v>543</v>
      </c>
      <c r="D176" s="30" t="n">
        <v>0.8</v>
      </c>
      <c r="E176" s="35" t="n">
        <v>0</v>
      </c>
      <c r="F176" s="47" t="n">
        <f aca="false">D176/AVERAGE($D$169:$D$180)</f>
        <v>0.75</v>
      </c>
      <c r="G176" s="40"/>
    </row>
    <row r="177" customFormat="false" ht="15" hidden="false" customHeight="true" outlineLevel="0" collapsed="false">
      <c r="B177" s="5" t="n">
        <v>9</v>
      </c>
      <c r="C177" s="5" t="s">
        <v>544</v>
      </c>
      <c r="D177" s="30" t="n">
        <v>0.85</v>
      </c>
      <c r="E177" s="35" t="n">
        <v>0</v>
      </c>
      <c r="F177" s="47" t="n">
        <f aca="false">D177/AVERAGE($D$169:$D$180)</f>
        <v>0.796875</v>
      </c>
      <c r="G177" s="40"/>
    </row>
    <row r="178" customFormat="false" ht="15" hidden="false" customHeight="true" outlineLevel="0" collapsed="false">
      <c r="B178" s="5" t="n">
        <v>10</v>
      </c>
      <c r="C178" s="5" t="s">
        <v>545</v>
      </c>
      <c r="D178" s="30" t="n">
        <v>1.6</v>
      </c>
      <c r="E178" s="35" t="n">
        <v>1</v>
      </c>
      <c r="F178" s="47" t="n">
        <f aca="false">D178/AVERAGE($D$169:$D$180)</f>
        <v>1.5</v>
      </c>
      <c r="G178" s="3" t="s">
        <v>546</v>
      </c>
    </row>
    <row r="179" customFormat="false" ht="15" hidden="false" customHeight="true" outlineLevel="0" collapsed="false">
      <c r="B179" s="5" t="n">
        <v>11</v>
      </c>
      <c r="C179" s="5" t="s">
        <v>547</v>
      </c>
      <c r="D179" s="30" t="n">
        <v>1.9</v>
      </c>
      <c r="E179" s="35" t="n">
        <v>1</v>
      </c>
      <c r="F179" s="47" t="n">
        <f aca="false">D179/AVERAGE($D$169:$D$180)</f>
        <v>1.78125</v>
      </c>
      <c r="G179" s="3" t="s">
        <v>548</v>
      </c>
    </row>
    <row r="180" customFormat="false" ht="15" hidden="false" customHeight="true" outlineLevel="0" collapsed="false">
      <c r="B180" s="5" t="n">
        <v>12</v>
      </c>
      <c r="C180" s="5" t="s">
        <v>549</v>
      </c>
      <c r="D180" s="30" t="n">
        <v>1.5</v>
      </c>
      <c r="E180" s="35" t="n">
        <v>1</v>
      </c>
      <c r="F180" s="47" t="n">
        <f aca="false">D180/AVERAGE($D$169:$D$180)</f>
        <v>1.40625</v>
      </c>
      <c r="G180" s="3" t="s">
        <v>550</v>
      </c>
    </row>
    <row r="181" customFormat="false" ht="15" hidden="false" customHeight="true" outlineLevel="0" collapsed="false">
      <c r="B181" s="3" t="s">
        <v>551</v>
      </c>
      <c r="F181" s="25" t="n">
        <f aca="false">(D178+D179)/SUM(D169:D180)</f>
        <v>0.2734375</v>
      </c>
      <c r="G181" s="3" t="s">
        <v>552</v>
      </c>
    </row>
    <row r="183" customFormat="false" ht="15" hidden="false" customHeight="false" outlineLevel="0" collapsed="false">
      <c r="A183" s="48" t="s">
        <v>553</v>
      </c>
      <c r="B183" s="48"/>
      <c r="C183" s="48"/>
      <c r="D183" s="48"/>
      <c r="E183" s="48"/>
      <c r="F183" s="48"/>
      <c r="G183" s="48"/>
    </row>
    <row r="184" customFormat="false" ht="15" hidden="false" customHeight="false" outlineLevel="0" collapsed="false">
      <c r="A184" s="49" t="s">
        <v>554</v>
      </c>
      <c r="B184" s="50" t="s">
        <v>555</v>
      </c>
      <c r="C184" s="51" t="s">
        <v>114</v>
      </c>
      <c r="D184" s="52" t="n">
        <v>1</v>
      </c>
      <c r="F184" s="50" t="str">
        <f aca="false">IF(D184=1,"Repuesto con funda","Cartucho retornable")</f>
        <v>Repuesto con funda</v>
      </c>
      <c r="G184" s="53" t="s">
        <v>556</v>
      </c>
    </row>
    <row r="185" customFormat="false" ht="15" hidden="false" customHeight="false" outlineLevel="0" collapsed="false">
      <c r="A185" s="49" t="s">
        <v>557</v>
      </c>
      <c r="B185" s="51" t="s">
        <v>558</v>
      </c>
      <c r="C185" s="49" t="s">
        <v>157</v>
      </c>
      <c r="D185" s="54" t="n">
        <v>3.2</v>
      </c>
      <c r="E185" s="54" t="n">
        <v>2.6</v>
      </c>
      <c r="F185" s="55" t="n">
        <f aca="false">IF(sel_costos=1,D185,E185)</f>
        <v>2.6</v>
      </c>
      <c r="G185" s="53" t="s">
        <v>559</v>
      </c>
    </row>
    <row r="186" customFormat="false" ht="15" hidden="false" customHeight="false" outlineLevel="0" collapsed="false">
      <c r="A186" s="49" t="s">
        <v>560</v>
      </c>
      <c r="B186" s="51" t="s">
        <v>561</v>
      </c>
      <c r="C186" s="49" t="s">
        <v>562</v>
      </c>
      <c r="D186" s="56" t="n">
        <v>8</v>
      </c>
      <c r="E186" s="56" t="n">
        <v>12</v>
      </c>
      <c r="F186" s="57" t="n">
        <f aca="false">IF(sel_costos=1,D186,E186)</f>
        <v>12</v>
      </c>
      <c r="G186" s="53" t="s">
        <v>563</v>
      </c>
    </row>
    <row r="187" customFormat="false" ht="15" hidden="false" customHeight="false" outlineLevel="0" collapsed="false">
      <c r="A187" s="49" t="s">
        <v>564</v>
      </c>
      <c r="B187" s="51" t="s">
        <v>565</v>
      </c>
      <c r="C187" s="49" t="s">
        <v>127</v>
      </c>
      <c r="D187" s="58" t="n">
        <v>0.7</v>
      </c>
      <c r="E187" s="58" t="n">
        <v>0.8</v>
      </c>
      <c r="F187" s="59" t="n">
        <f aca="false">IF(sel_costos=1,D187,E187)</f>
        <v>0.8</v>
      </c>
      <c r="G187" s="53" t="s">
        <v>566</v>
      </c>
    </row>
    <row r="188" customFormat="false" ht="15" hidden="false" customHeight="false" outlineLevel="0" collapsed="false">
      <c r="A188" s="49" t="s">
        <v>567</v>
      </c>
      <c r="B188" s="51" t="s">
        <v>568</v>
      </c>
      <c r="C188" s="49" t="s">
        <v>157</v>
      </c>
      <c r="D188" s="54" t="n">
        <v>5</v>
      </c>
      <c r="E188" s="54" t="n">
        <v>5</v>
      </c>
      <c r="F188" s="55" t="n">
        <f aca="false">IF(sel_costos=1,D188,E188)</f>
        <v>5</v>
      </c>
      <c r="G188" s="53" t="s">
        <v>569</v>
      </c>
    </row>
    <row r="189" customFormat="false" ht="15" hidden="false" customHeight="false" outlineLevel="0" collapsed="false">
      <c r="A189" s="49" t="s">
        <v>570</v>
      </c>
      <c r="B189" s="51" t="s">
        <v>571</v>
      </c>
      <c r="C189" s="49" t="s">
        <v>157</v>
      </c>
      <c r="D189" s="54" t="n">
        <v>0.5</v>
      </c>
      <c r="E189" s="54" t="n">
        <v>0.35</v>
      </c>
      <c r="F189" s="55" t="n">
        <f aca="false">IF(sel_costos=1,D189,E189)</f>
        <v>0.35</v>
      </c>
      <c r="G189" s="53" t="s">
        <v>572</v>
      </c>
    </row>
    <row r="190" customFormat="false" ht="15" hidden="false" customHeight="false" outlineLevel="0" collapsed="false">
      <c r="A190" s="49" t="s">
        <v>573</v>
      </c>
      <c r="B190" s="51" t="s">
        <v>574</v>
      </c>
      <c r="C190" s="49" t="s">
        <v>157</v>
      </c>
      <c r="D190" s="54" t="n">
        <v>0.1</v>
      </c>
      <c r="E190" s="54" t="n">
        <v>0.05</v>
      </c>
      <c r="F190" s="55" t="n">
        <f aca="false">IF(sel_costos=1,D190,E190)</f>
        <v>0.05</v>
      </c>
      <c r="G190" s="53" t="s">
        <v>575</v>
      </c>
    </row>
    <row r="191" customFormat="false" ht="15" hidden="false" customHeight="false" outlineLevel="0" collapsed="false">
      <c r="A191" s="49" t="s">
        <v>576</v>
      </c>
      <c r="B191" s="51" t="s">
        <v>577</v>
      </c>
      <c r="C191" s="49" t="s">
        <v>141</v>
      </c>
      <c r="D191" s="56" t="n">
        <v>5</v>
      </c>
      <c r="E191" s="56" t="n">
        <v>4</v>
      </c>
      <c r="F191" s="57" t="n">
        <f aca="false">IF(sel_costos=1,D191,E191)</f>
        <v>4</v>
      </c>
      <c r="G191" s="53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7" min="3" style="1" width="16"/>
    <col collapsed="false" customWidth="true" hidden="false" outlineLevel="0" max="8" min="8" style="1" width="50"/>
  </cols>
  <sheetData>
    <row r="1" customFormat="false" ht="18" hidden="false" customHeight="true" outlineLevel="0" collapsed="false">
      <c r="A1" s="2" t="s">
        <v>579</v>
      </c>
    </row>
    <row r="2" customFormat="false" ht="15" hidden="false" customHeight="true" outlineLevel="0" collapsed="false">
      <c r="A2" s="3" t="s">
        <v>580</v>
      </c>
    </row>
    <row r="4" customFormat="false" ht="15" hidden="false" customHeight="true" outlineLevel="0" collapsed="false">
      <c r="A4" s="17" t="s">
        <v>108</v>
      </c>
      <c r="B4" s="18" t="s">
        <v>109</v>
      </c>
      <c r="C4" s="18" t="s">
        <v>80</v>
      </c>
      <c r="D4" s="18" t="s">
        <v>81</v>
      </c>
      <c r="E4" s="18" t="s">
        <v>82</v>
      </c>
      <c r="F4" s="18" t="s">
        <v>83</v>
      </c>
      <c r="G4" s="18" t="s">
        <v>581</v>
      </c>
      <c r="H4" s="18" t="s">
        <v>532</v>
      </c>
    </row>
    <row r="5" customFormat="false" ht="15" hidden="false" customHeight="true" outlineLevel="0" collapsed="false">
      <c r="A5" s="5" t="s">
        <v>582</v>
      </c>
      <c r="B5" s="3" t="s">
        <v>204</v>
      </c>
      <c r="C5" s="22" t="n">
        <f aca="false">horas_gar</f>
        <v>168</v>
      </c>
      <c r="D5" s="22" t="n">
        <f aca="false">horas_gar</f>
        <v>168</v>
      </c>
      <c r="E5" s="22" t="n">
        <f aca="false">horas_gar</f>
        <v>168</v>
      </c>
      <c r="F5" s="22" t="n">
        <f aca="false">horas_gar</f>
        <v>168</v>
      </c>
      <c r="G5" s="22" t="n">
        <f aca="false">horas_gar</f>
        <v>168</v>
      </c>
      <c r="H5" s="40"/>
    </row>
    <row r="6" customFormat="false" ht="15" hidden="false" customHeight="true" outlineLevel="0" collapsed="false">
      <c r="A6" s="5" t="s">
        <v>583</v>
      </c>
      <c r="B6" s="3" t="s">
        <v>208</v>
      </c>
      <c r="C6" s="47" t="n">
        <f aca="false">gph</f>
        <v>2.3</v>
      </c>
      <c r="D6" s="47" t="n">
        <f aca="false">gph</f>
        <v>2.3</v>
      </c>
      <c r="E6" s="47" t="n">
        <f aca="false">gph</f>
        <v>2.3</v>
      </c>
      <c r="F6" s="47" t="n">
        <f aca="false">gph</f>
        <v>2.3</v>
      </c>
      <c r="G6" s="47" t="n">
        <f aca="false">gph</f>
        <v>2.3</v>
      </c>
      <c r="H6" s="40"/>
    </row>
    <row r="7" customFormat="false" ht="15" hidden="false" customHeight="true" outlineLevel="0" collapsed="false">
      <c r="A7" s="5" t="s">
        <v>584</v>
      </c>
      <c r="B7" s="3" t="s">
        <v>127</v>
      </c>
      <c r="C7" s="20" t="n">
        <f aca="false">residual</f>
        <v>0.03</v>
      </c>
      <c r="D7" s="20" t="n">
        <f aca="false">residual</f>
        <v>0.03</v>
      </c>
      <c r="E7" s="20" t="n">
        <f aca="false">residual</f>
        <v>0.03</v>
      </c>
      <c r="F7" s="20" t="n">
        <f aca="false">residual</f>
        <v>0.03</v>
      </c>
      <c r="G7" s="20" t="n">
        <f aca="false">residual</f>
        <v>0.03</v>
      </c>
      <c r="H7" s="40"/>
    </row>
    <row r="8" customFormat="false" ht="15" hidden="false" customHeight="true" outlineLevel="0" collapsed="false">
      <c r="A8" s="5" t="s">
        <v>99</v>
      </c>
      <c r="B8" s="3" t="s">
        <v>585</v>
      </c>
      <c r="C8" s="22" t="n">
        <f aca="false">C6*C5*(1+C7)</f>
        <v>397.992</v>
      </c>
      <c r="D8" s="22" t="n">
        <f aca="false">D6*D5*(1+D7)</f>
        <v>397.992</v>
      </c>
      <c r="E8" s="22" t="n">
        <f aca="false">E6*E5*(1+E7)</f>
        <v>397.992</v>
      </c>
      <c r="F8" s="22" t="n">
        <f aca="false">F6*F5*(1+F7)</f>
        <v>397.992</v>
      </c>
      <c r="G8" s="22" t="n">
        <f aca="false">G6*G5*(1+G7)</f>
        <v>397.992</v>
      </c>
      <c r="H8" s="40"/>
    </row>
    <row r="9" customFormat="false" ht="15" hidden="false" customHeight="true" outlineLevel="0" collapsed="false">
      <c r="A9" s="5" t="s">
        <v>586</v>
      </c>
      <c r="B9" s="3" t="s">
        <v>587</v>
      </c>
      <c r="C9" s="26" t="n">
        <f aca="false">paraf_usd*tc/1000*factor_intern</f>
        <v>29.522427</v>
      </c>
      <c r="D9" s="26" t="n">
        <f aca="false">paraf_usd*tc/1000*factor_intern</f>
        <v>29.522427</v>
      </c>
      <c r="E9" s="26" t="n">
        <f aca="false">paraf_usd*tc/1000*factor_intern</f>
        <v>29.522427</v>
      </c>
      <c r="F9" s="26" t="n">
        <f aca="false">paraf_usd*tc/1000*factor_intern</f>
        <v>29.522427</v>
      </c>
      <c r="G9" s="26" t="n">
        <f aca="false">paraf_usd*tc/1000*factor_intern</f>
        <v>29.522427</v>
      </c>
      <c r="H9" s="40"/>
    </row>
    <row r="10" customFormat="false" ht="15" hidden="false" customHeight="true" outlineLevel="0" collapsed="false">
      <c r="A10" s="5" t="s">
        <v>588</v>
      </c>
      <c r="B10" s="3" t="s">
        <v>490</v>
      </c>
      <c r="C10" s="26" t="n">
        <f aca="false">C8/1000*C9</f>
        <v>11.749689766584</v>
      </c>
      <c r="D10" s="26" t="n">
        <f aca="false">D8/1000*D9</f>
        <v>11.749689766584</v>
      </c>
      <c r="E10" s="26" t="n">
        <f aca="false">E8/1000*E9</f>
        <v>11.749689766584</v>
      </c>
      <c r="F10" s="26" t="n">
        <f aca="false">F8/1000*F9</f>
        <v>11.749689766584</v>
      </c>
      <c r="G10" s="26" t="n">
        <f aca="false">G8/1000*G9</f>
        <v>11.749689766584</v>
      </c>
      <c r="H10" s="40"/>
    </row>
    <row r="11" customFormat="false" ht="15" hidden="false" customHeight="true" outlineLevel="0" collapsed="false">
      <c r="A11" s="5" t="s">
        <v>589</v>
      </c>
      <c r="B11" s="3" t="s">
        <v>490</v>
      </c>
      <c r="C11" s="26" t="n">
        <f aca="false">vaso</f>
        <v>4.2</v>
      </c>
      <c r="D11" s="26" t="n">
        <v>0</v>
      </c>
      <c r="E11" s="26" t="n">
        <f aca="false">vaso</f>
        <v>4.2</v>
      </c>
      <c r="F11" s="26" t="n">
        <f aca="false">vaso</f>
        <v>4.2</v>
      </c>
      <c r="G11" s="26" t="n">
        <f aca="false">vaso_premium</f>
        <v>15</v>
      </c>
      <c r="H11" s="40"/>
    </row>
    <row r="12" customFormat="false" ht="15" hidden="false" customHeight="true" outlineLevel="0" collapsed="false">
      <c r="A12" s="5" t="s">
        <v>590</v>
      </c>
      <c r="B12" s="3" t="s">
        <v>490</v>
      </c>
      <c r="C12" s="26" t="n">
        <f aca="false">mecha</f>
        <v>0.4</v>
      </c>
      <c r="D12" s="26" t="n">
        <f aca="false">mecha</f>
        <v>0.4</v>
      </c>
      <c r="E12" s="26" t="n">
        <f aca="false">mecha</f>
        <v>0.4</v>
      </c>
      <c r="F12" s="26" t="n">
        <f aca="false">mecha</f>
        <v>0.4</v>
      </c>
      <c r="G12" s="26" t="n">
        <f aca="false">mecha</f>
        <v>0.4</v>
      </c>
      <c r="H12" s="40"/>
    </row>
    <row r="13" customFormat="false" ht="15" hidden="false" customHeight="true" outlineLevel="0" collapsed="false">
      <c r="A13" s="5" t="s">
        <v>591</v>
      </c>
      <c r="B13" s="3" t="s">
        <v>490</v>
      </c>
      <c r="C13" s="26" t="n">
        <f aca="false">etiqueta</f>
        <v>0.75</v>
      </c>
      <c r="D13" s="26" t="n">
        <v>0</v>
      </c>
      <c r="E13" s="26" t="n">
        <f aca="false">etiqueta</f>
        <v>0.75</v>
      </c>
      <c r="F13" s="26" t="n">
        <f aca="false">etiqueta</f>
        <v>0.75</v>
      </c>
      <c r="G13" s="26" t="n">
        <f aca="false">etiqueta</f>
        <v>0.75</v>
      </c>
      <c r="H13" s="40"/>
    </row>
    <row r="14" customFormat="false" ht="15" hidden="false" customHeight="true" outlineLevel="0" collapsed="false">
      <c r="A14" s="5" t="s">
        <v>234</v>
      </c>
      <c r="B14" s="3" t="s">
        <v>490</v>
      </c>
      <c r="C14" s="26" t="n">
        <v>0</v>
      </c>
      <c r="D14" s="26" t="n">
        <v>0</v>
      </c>
      <c r="E14" s="26" t="n">
        <f aca="false">extra_temp</f>
        <v>1.2</v>
      </c>
      <c r="F14" s="26" t="n">
        <v>0</v>
      </c>
      <c r="G14" s="26" t="n">
        <v>0</v>
      </c>
      <c r="H14" s="40"/>
    </row>
    <row r="15" customFormat="false" ht="15" hidden="false" customHeight="true" outlineLevel="0" collapsed="false">
      <c r="A15" s="5" t="s">
        <v>592</v>
      </c>
      <c r="B15" s="3" t="s">
        <v>490</v>
      </c>
      <c r="C15" s="26" t="n">
        <v>0</v>
      </c>
      <c r="D15" s="26" t="n">
        <v>0</v>
      </c>
      <c r="E15" s="26" t="n">
        <v>0</v>
      </c>
      <c r="F15" s="26" t="n">
        <f aca="false">extra_impr+atencion_pers</f>
        <v>5</v>
      </c>
      <c r="G15" s="26" t="n">
        <v>0</v>
      </c>
      <c r="H15" s="40"/>
    </row>
    <row r="16" customFormat="false" ht="15" hidden="false" customHeight="true" outlineLevel="0" collapsed="false">
      <c r="A16" s="5" t="s">
        <v>593</v>
      </c>
      <c r="B16" s="3" t="s">
        <v>490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f aca="false">caja_regalo+logo</f>
        <v>17</v>
      </c>
      <c r="H16" s="40"/>
    </row>
    <row r="17" customFormat="false" ht="15" hidden="false" customHeight="true" outlineLevel="0" collapsed="false">
      <c r="A17" s="5" t="s">
        <v>594</v>
      </c>
      <c r="B17" s="3" t="s">
        <v>490</v>
      </c>
      <c r="C17" s="26" t="n">
        <f aca="false">IF(sel_rep=1,0,cart_neto)</f>
        <v>0</v>
      </c>
      <c r="D17" s="26" t="n">
        <f aca="false">IF(sel_rep=1,funda_rep,cart_neto)</f>
        <v>0.45</v>
      </c>
      <c r="E17" s="26" t="n">
        <f aca="false">IF(sel_rep=1,0,cart_neto)</f>
        <v>0</v>
      </c>
      <c r="F17" s="26" t="n">
        <f aca="false">IF(sel_rep=1,0,cart_neto)</f>
        <v>0</v>
      </c>
      <c r="G17" s="26" t="n">
        <f aca="false">IF(sel_rep=1,0,cart_neto)</f>
        <v>0</v>
      </c>
      <c r="H17" s="53" t="s">
        <v>595</v>
      </c>
    </row>
    <row r="18" customFormat="false" ht="15" hidden="false" customHeight="true" outlineLevel="0" collapsed="false">
      <c r="A18" s="5" t="s">
        <v>596</v>
      </c>
      <c r="B18" s="3" t="s">
        <v>490</v>
      </c>
      <c r="C18" s="26" t="n">
        <f aca="false">empaque_sem</f>
        <v>0.35</v>
      </c>
      <c r="D18" s="26" t="n">
        <f aca="false">empaque_rep</f>
        <v>0.22</v>
      </c>
      <c r="E18" s="26" t="n">
        <f aca="false">empaque_sem</f>
        <v>0.35</v>
      </c>
      <c r="F18" s="26" t="n">
        <f aca="false">empaque_sem</f>
        <v>0.35</v>
      </c>
      <c r="G18" s="26" t="n">
        <f aca="false">empaque_sem</f>
        <v>0.35</v>
      </c>
      <c r="H18" s="40"/>
    </row>
    <row r="19" customFormat="false" ht="15" hidden="false" customHeight="true" outlineLevel="0" collapsed="false">
      <c r="A19" s="5" t="s">
        <v>597</v>
      </c>
      <c r="B19" s="3" t="s">
        <v>490</v>
      </c>
      <c r="C19" s="26" t="n">
        <f aca="false">viaje/(tarimas_viaje*pzas_tarima_sem)</f>
        <v>0.25</v>
      </c>
      <c r="D19" s="26" t="n">
        <f aca="false">viaje/(tarimas_viaje*pzas_tarima_rep)</f>
        <v>0.111111111111111</v>
      </c>
      <c r="E19" s="26" t="n">
        <f aca="false">viaje/(tarimas_viaje*pzas_tarima_sem)</f>
        <v>0.25</v>
      </c>
      <c r="F19" s="26" t="n">
        <f aca="false">viaje/(tarimas_viaje*pzas_tarima_sem)</f>
        <v>0.25</v>
      </c>
      <c r="G19" s="26" t="n">
        <f aca="false">viaje/(tarimas_viaje*pzas_tarima_sem)</f>
        <v>0.25</v>
      </c>
      <c r="H19" s="40"/>
    </row>
    <row r="20" customFormat="false" ht="15" hidden="false" customHeight="true" outlineLevel="0" collapsed="false">
      <c r="A20" s="21" t="s">
        <v>598</v>
      </c>
      <c r="B20" s="3" t="s">
        <v>490</v>
      </c>
      <c r="C20" s="37" t="n">
        <f aca="false">SUM(C10:C19)</f>
        <v>17.699689766584</v>
      </c>
      <c r="D20" s="37" t="n">
        <f aca="false">SUM(D10:D19)</f>
        <v>12.9308008776951</v>
      </c>
      <c r="E20" s="37" t="n">
        <f aca="false">SUM(E10:E19)</f>
        <v>18.899689766584</v>
      </c>
      <c r="F20" s="37" t="n">
        <f aca="false">SUM(F10:F19)</f>
        <v>22.699689766584</v>
      </c>
      <c r="G20" s="37" t="n">
        <f aca="false">SUM(G10:G19)</f>
        <v>45.499689766584</v>
      </c>
      <c r="H20" s="40"/>
    </row>
    <row r="21" customFormat="false" ht="15" hidden="false" customHeight="true" outlineLevel="0" collapsed="false">
      <c r="A21" s="5" t="s">
        <v>599</v>
      </c>
      <c r="B21" s="3" t="s">
        <v>490</v>
      </c>
      <c r="C21" s="26" t="n">
        <f aca="false">C20*merma</f>
        <v>0.26549534649876</v>
      </c>
      <c r="D21" s="26" t="n">
        <f aca="false">D20*merma</f>
        <v>0.193962013165427</v>
      </c>
      <c r="E21" s="26" t="n">
        <f aca="false">E20*merma</f>
        <v>0.28349534649876</v>
      </c>
      <c r="F21" s="26" t="n">
        <f aca="false">F20*merma</f>
        <v>0.34049534649876</v>
      </c>
      <c r="G21" s="26" t="n">
        <f aca="false">G20*merma</f>
        <v>0.68249534649876</v>
      </c>
      <c r="H21" s="40"/>
    </row>
    <row r="22" customFormat="false" ht="15" hidden="false" customHeight="true" outlineLevel="0" collapsed="false">
      <c r="A22" s="21" t="s">
        <v>600</v>
      </c>
      <c r="B22" s="3" t="s">
        <v>490</v>
      </c>
      <c r="C22" s="37" t="n">
        <f aca="false">C20+C21</f>
        <v>17.9651851130828</v>
      </c>
      <c r="D22" s="37" t="n">
        <f aca="false">D20+D21</f>
        <v>13.1247628908605</v>
      </c>
      <c r="E22" s="37" t="n">
        <f aca="false">E20+E21</f>
        <v>19.1831851130828</v>
      </c>
      <c r="F22" s="37" t="n">
        <f aca="false">F20+F21</f>
        <v>23.0401851130828</v>
      </c>
      <c r="G22" s="37" t="n">
        <f aca="false">G20+G21</f>
        <v>46.1821851130828</v>
      </c>
      <c r="H22" s="40"/>
    </row>
    <row r="23" customFormat="false" ht="15" hidden="false" customHeight="true" outlineLevel="0" collapsed="false">
      <c r="A23" s="5" t="s">
        <v>601</v>
      </c>
      <c r="B23" s="3" t="s">
        <v>220</v>
      </c>
      <c r="C23" s="47" t="n">
        <v>1</v>
      </c>
      <c r="D23" s="47" t="n">
        <f aca="false">factor_transf_rep</f>
        <v>0.75</v>
      </c>
      <c r="E23" s="47" t="n">
        <v>1</v>
      </c>
      <c r="F23" s="47" t="n">
        <v>1</v>
      </c>
      <c r="G23" s="47" t="n">
        <v>1</v>
      </c>
      <c r="H23" s="40"/>
    </row>
    <row r="24" customFormat="false" ht="15" hidden="false" customHeight="true" outlineLevel="0" collapsed="false">
      <c r="A24" s="5" t="s">
        <v>602</v>
      </c>
      <c r="B24" s="3" t="s">
        <v>490</v>
      </c>
      <c r="C24" s="26" t="n">
        <f aca="false">transf_maquila*C23</f>
        <v>2.2</v>
      </c>
      <c r="D24" s="26" t="n">
        <f aca="false">transf_maquila*D23</f>
        <v>1.65</v>
      </c>
      <c r="E24" s="26" t="n">
        <f aca="false">transf_maquila*E23</f>
        <v>2.2</v>
      </c>
      <c r="F24" s="26" t="n">
        <f aca="false">transf_maquila*F23</f>
        <v>2.2</v>
      </c>
      <c r="G24" s="26" t="n">
        <f aca="false">transf_maquila*G23</f>
        <v>2.2</v>
      </c>
      <c r="H24" s="40"/>
    </row>
    <row r="25" customFormat="false" ht="15" hidden="false" customHeight="true" outlineLevel="0" collapsed="false">
      <c r="A25" s="5" t="s">
        <v>603</v>
      </c>
      <c r="B25" s="3" t="s">
        <v>490</v>
      </c>
      <c r="C25" s="26" t="n">
        <f aca="false">transf_propia*C23</f>
        <v>1.239272</v>
      </c>
      <c r="D25" s="26" t="n">
        <f aca="false">transf_propia*D23</f>
        <v>0.929454</v>
      </c>
      <c r="E25" s="26" t="n">
        <f aca="false">transf_propia*E23</f>
        <v>1.239272</v>
      </c>
      <c r="F25" s="26" t="n">
        <f aca="false">transf_propia*F23</f>
        <v>1.239272</v>
      </c>
      <c r="G25" s="26" t="n">
        <f aca="false">transf_propia*G23</f>
        <v>1.239272</v>
      </c>
      <c r="H25" s="40"/>
    </row>
    <row r="26" customFormat="false" ht="15" hidden="false" customHeight="true" outlineLevel="0" collapsed="false">
      <c r="A26" s="5" t="s">
        <v>604</v>
      </c>
      <c r="B26" s="3" t="s">
        <v>490</v>
      </c>
      <c r="C26" s="26" t="n">
        <f aca="false">C22+C24</f>
        <v>20.1651851130828</v>
      </c>
      <c r="D26" s="26" t="n">
        <f aca="false">D22+D24</f>
        <v>14.7747628908605</v>
      </c>
      <c r="E26" s="26" t="n">
        <f aca="false">E22+E24</f>
        <v>21.3831851130828</v>
      </c>
      <c r="F26" s="26" t="n">
        <f aca="false">F22+F24</f>
        <v>25.2401851130828</v>
      </c>
      <c r="G26" s="26" t="n">
        <f aca="false">G22+G24</f>
        <v>48.3821851130828</v>
      </c>
      <c r="H26" s="40"/>
    </row>
    <row r="27" customFormat="false" ht="15" hidden="false" customHeight="true" outlineLevel="0" collapsed="false">
      <c r="A27" s="5" t="s">
        <v>605</v>
      </c>
      <c r="B27" s="3" t="s">
        <v>490</v>
      </c>
      <c r="C27" s="26" t="n">
        <f aca="false">C22+C25</f>
        <v>19.2044571130828</v>
      </c>
      <c r="D27" s="26" t="n">
        <f aca="false">D22+D25</f>
        <v>14.0542168908605</v>
      </c>
      <c r="E27" s="26" t="n">
        <f aca="false">E22+E25</f>
        <v>20.4224571130828</v>
      </c>
      <c r="F27" s="26" t="n">
        <f aca="false">F22+F25</f>
        <v>24.2794571130828</v>
      </c>
      <c r="G27" s="26" t="n">
        <f aca="false">G22+G25</f>
        <v>47.4214571130828</v>
      </c>
      <c r="H27" s="40"/>
    </row>
    <row r="28" customFormat="false" ht="15" hidden="false" customHeight="true" outlineLevel="0" collapsed="false">
      <c r="A28" s="21" t="s">
        <v>606</v>
      </c>
      <c r="B28" s="3" t="s">
        <v>490</v>
      </c>
      <c r="C28" s="37" t="n">
        <f aca="false">IF(mes_planta&lt;=meses_horizonte,C27,C26)</f>
        <v>20.1651851130828</v>
      </c>
      <c r="D28" s="37" t="n">
        <f aca="false">IF(mes_planta&lt;=meses_horizonte,D27,D26)</f>
        <v>14.7747628908605</v>
      </c>
      <c r="E28" s="37" t="n">
        <f aca="false">IF(mes_planta&lt;=meses_horizonte,E27,E26)</f>
        <v>21.3831851130828</v>
      </c>
      <c r="F28" s="37" t="n">
        <f aca="false">IF(mes_planta&lt;=meses_horizonte,F27,F26)</f>
        <v>25.2401851130828</v>
      </c>
      <c r="G28" s="37" t="n">
        <f aca="false">IF(mes_planta&lt;=meses_horizonte,G27,G26)</f>
        <v>48.3821851130828</v>
      </c>
      <c r="H28" s="3" t="s">
        <v>607</v>
      </c>
    </row>
    <row r="30" customFormat="false" ht="15" hidden="false" customHeight="true" outlineLevel="0" collapsed="false">
      <c r="A30" s="28" t="s">
        <v>608</v>
      </c>
      <c r="B30" s="29"/>
      <c r="C30" s="29"/>
      <c r="D30" s="29"/>
      <c r="E30" s="29"/>
      <c r="F30" s="29"/>
      <c r="G30" s="29"/>
      <c r="H30" s="29"/>
    </row>
    <row r="31" customFormat="false" ht="15" hidden="false" customHeight="true" outlineLevel="0" collapsed="false">
      <c r="A31" s="5" t="s">
        <v>609</v>
      </c>
      <c r="B31" s="3" t="s">
        <v>490</v>
      </c>
      <c r="C31" s="26" t="n">
        <f aca="false">p_sem</f>
        <v>49</v>
      </c>
      <c r="D31" s="26" t="n">
        <f aca="false">p_rep</f>
        <v>34</v>
      </c>
      <c r="E31" s="26" t="n">
        <f aca="false">p_tem</f>
        <v>65</v>
      </c>
      <c r="F31" s="26" t="n">
        <f aca="false">p_per</f>
        <v>99</v>
      </c>
      <c r="G31" s="26" t="n">
        <f aca="false">p_corp</f>
        <v>249</v>
      </c>
      <c r="H31" s="40"/>
    </row>
    <row r="32" customFormat="false" ht="15" hidden="false" customHeight="true" outlineLevel="0" collapsed="false">
      <c r="A32" s="5" t="s">
        <v>610</v>
      </c>
      <c r="B32" s="3" t="s">
        <v>611</v>
      </c>
      <c r="C32" s="26" t="n">
        <f aca="false">C31/C5</f>
        <v>0.291666666666667</v>
      </c>
      <c r="D32" s="26" t="n">
        <f aca="false">D31/D5</f>
        <v>0.202380952380952</v>
      </c>
      <c r="E32" s="26" t="n">
        <f aca="false">E31/E5</f>
        <v>0.386904761904762</v>
      </c>
      <c r="F32" s="26" t="n">
        <f aca="false">F31/F5</f>
        <v>0.589285714285714</v>
      </c>
      <c r="G32" s="26" t="n">
        <f aca="false">G31/G5</f>
        <v>1.48214285714286</v>
      </c>
      <c r="H32" s="40"/>
    </row>
    <row r="33" customFormat="false" ht="15" hidden="false" customHeight="true" outlineLevel="0" collapsed="false">
      <c r="A33" s="5" t="s">
        <v>612</v>
      </c>
      <c r="B33" s="3" t="s">
        <v>127</v>
      </c>
      <c r="C33" s="20" t="n">
        <f aca="false">IFERROR(C11/C28,0)</f>
        <v>0.208279764180053</v>
      </c>
      <c r="D33" s="20" t="n">
        <f aca="false">IFERROR(D11/D28,0)</f>
        <v>0</v>
      </c>
      <c r="E33" s="20" t="n">
        <f aca="false">IFERROR(E11/E28,0)</f>
        <v>0.19641601462966</v>
      </c>
      <c r="F33" s="20" t="n">
        <f aca="false">IFERROR(F11/F28,0)</f>
        <v>0.166401315251171</v>
      </c>
      <c r="G33" s="20" t="n">
        <f aca="false">IFERROR(G11/G28,0)</f>
        <v>0.31003147057002</v>
      </c>
      <c r="H33" s="40"/>
    </row>
    <row r="34" customFormat="false" ht="15" hidden="false" customHeight="true" outlineLevel="0" collapsed="false">
      <c r="A34" s="5" t="s">
        <v>613</v>
      </c>
      <c r="B34" s="3" t="s">
        <v>127</v>
      </c>
      <c r="C34" s="20" t="n">
        <f aca="false">IFERROR(C10/C28,0)</f>
        <v>0.58267205089831</v>
      </c>
      <c r="D34" s="20" t="n">
        <f aca="false">IFERROR(D10/D28,0)</f>
        <v>0.795254032391423</v>
      </c>
      <c r="E34" s="20" t="n">
        <f aca="false">IFERROR(E10/E28,0)</f>
        <v>0.549482675496984</v>
      </c>
      <c r="F34" s="20" t="n">
        <f aca="false">IFERROR(F10/F28,0)</f>
        <v>0.465515197845906</v>
      </c>
      <c r="G34" s="20" t="n">
        <f aca="false">IFERROR(G10/G28,0)</f>
        <v>0.242851573138371</v>
      </c>
      <c r="H34" s="40"/>
    </row>
    <row r="35" customFormat="false" ht="15" hidden="false" customHeight="true" outlineLevel="0" collapsed="false">
      <c r="A35" s="5" t="s">
        <v>614</v>
      </c>
      <c r="B35" s="3" t="s">
        <v>615</v>
      </c>
      <c r="C35" s="22" t="n">
        <f aca="false">C8</f>
        <v>397.992</v>
      </c>
      <c r="D35" s="22" t="n">
        <f aca="false">D8</f>
        <v>397.992</v>
      </c>
      <c r="E35" s="22" t="n">
        <f aca="false">E8</f>
        <v>397.992</v>
      </c>
      <c r="F35" s="22" t="n">
        <f aca="false">F8</f>
        <v>397.992</v>
      </c>
      <c r="G35" s="22" t="n">
        <f aca="false">G8</f>
        <v>397.992</v>
      </c>
      <c r="H35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78"/>
  </cols>
  <sheetData>
    <row r="1" customFormat="false" ht="25.5" hidden="false" customHeight="true" outlineLevel="0" collapsed="false">
      <c r="A1" s="60" t="s">
        <v>616</v>
      </c>
    </row>
    <row r="2" customFormat="false" ht="15" hidden="false" customHeight="false" outlineLevel="0" collapsed="false">
      <c r="A2" s="61" t="s">
        <v>617</v>
      </c>
    </row>
    <row r="4" customFormat="false" ht="15" hidden="false" customHeight="false" outlineLevel="0" collapsed="false">
      <c r="A4" s="48" t="s">
        <v>618</v>
      </c>
      <c r="B4" s="48"/>
      <c r="C4" s="48"/>
      <c r="D4" s="48"/>
    </row>
    <row r="5" customFormat="false" ht="15" hidden="false" customHeight="false" outlineLevel="0" collapsed="false">
      <c r="A5" s="51" t="s">
        <v>619</v>
      </c>
    </row>
    <row r="6" customFormat="false" ht="15" hidden="false" customHeight="false" outlineLevel="0" collapsed="false">
      <c r="A6" s="51" t="s">
        <v>620</v>
      </c>
    </row>
    <row r="7" customFormat="false" ht="15" hidden="false" customHeight="false" outlineLevel="0" collapsed="false">
      <c r="A7" s="51" t="s">
        <v>621</v>
      </c>
    </row>
    <row r="8" customFormat="false" ht="15" hidden="false" customHeight="false" outlineLevel="0" collapsed="false">
      <c r="A8" s="51" t="s">
        <v>622</v>
      </c>
    </row>
    <row r="9" customFormat="false" ht="15" hidden="false" customHeight="false" outlineLevel="0" collapsed="false">
      <c r="A9" s="51" t="s">
        <v>623</v>
      </c>
    </row>
    <row r="11" customFormat="false" ht="15" hidden="false" customHeight="false" outlineLevel="0" collapsed="false">
      <c r="A11" s="48" t="s">
        <v>624</v>
      </c>
      <c r="B11" s="48"/>
      <c r="C11" s="48"/>
      <c r="D11" s="48"/>
    </row>
    <row r="12" customFormat="false" ht="15" hidden="false" customHeight="false" outlineLevel="0" collapsed="false">
      <c r="A12" s="62" t="s">
        <v>108</v>
      </c>
      <c r="B12" s="63" t="s">
        <v>69</v>
      </c>
      <c r="C12" s="63" t="s">
        <v>109</v>
      </c>
      <c r="D12" s="63" t="s">
        <v>625</v>
      </c>
    </row>
    <row r="13" customFormat="false" ht="15" hidden="false" customHeight="false" outlineLevel="0" collapsed="false">
      <c r="A13" s="51" t="s">
        <v>626</v>
      </c>
      <c r="B13" s="55" t="n">
        <f aca="false">cart_costo</f>
        <v>2.6</v>
      </c>
      <c r="C13" s="51" t="s">
        <v>157</v>
      </c>
      <c r="D13" s="64" t="s">
        <v>627</v>
      </c>
    </row>
    <row r="14" customFormat="false" ht="15" hidden="false" customHeight="false" outlineLevel="0" collapsed="false">
      <c r="A14" s="51" t="s">
        <v>628</v>
      </c>
      <c r="B14" s="59" t="n">
        <f aca="false">cart_retorno</f>
        <v>0.8</v>
      </c>
      <c r="C14" s="51" t="s">
        <v>127</v>
      </c>
      <c r="D14" s="64" t="s">
        <v>629</v>
      </c>
    </row>
    <row r="15" customFormat="false" ht="15" hidden="false" customHeight="false" outlineLevel="0" collapsed="false">
      <c r="A15" s="51" t="s">
        <v>630</v>
      </c>
      <c r="B15" s="57" t="n">
        <f aca="false">cart_vueltas</f>
        <v>12</v>
      </c>
      <c r="C15" s="51" t="s">
        <v>562</v>
      </c>
      <c r="D15" s="64" t="s">
        <v>627</v>
      </c>
    </row>
    <row r="16" customFormat="false" ht="22.35" hidden="false" customHeight="false" outlineLevel="0" collapsed="false">
      <c r="A16" s="51" t="s">
        <v>631</v>
      </c>
      <c r="B16" s="65" t="n">
        <f aca="false">IF(cart_retorno&gt;=1,cart_vueltas,(1-cart_retorno^cart_vueltas)/(1-cart_retorno))</f>
        <v>4.65640261632</v>
      </c>
      <c r="C16" s="51" t="s">
        <v>632</v>
      </c>
      <c r="D16" s="64" t="s">
        <v>633</v>
      </c>
    </row>
    <row r="17" customFormat="false" ht="15" hidden="false" customHeight="false" outlineLevel="0" collapsed="false">
      <c r="A17" s="51" t="s">
        <v>634</v>
      </c>
      <c r="B17" s="55" t="n">
        <f aca="false">B13/B16</f>
        <v>0.558370960210224</v>
      </c>
      <c r="C17" s="51" t="s">
        <v>635</v>
      </c>
      <c r="D17" s="64" t="s">
        <v>636</v>
      </c>
    </row>
    <row r="18" customFormat="false" ht="15" hidden="false" customHeight="false" outlineLevel="0" collapsed="false">
      <c r="A18" s="51" t="s">
        <v>637</v>
      </c>
      <c r="B18" s="55" t="n">
        <f aca="false">cart_retorno*(cart_reproceso+cart_log_inv)</f>
        <v>0.32</v>
      </c>
      <c r="C18" s="51" t="s">
        <v>635</v>
      </c>
      <c r="D18" s="64" t="s">
        <v>638</v>
      </c>
    </row>
    <row r="19" customFormat="false" ht="22.35" hidden="false" customHeight="false" outlineLevel="0" collapsed="false">
      <c r="A19" s="51" t="s">
        <v>639</v>
      </c>
      <c r="B19" s="55" t="n">
        <f aca="false">(1-cart_retorno)*cart_deposito/(1+iva)</f>
        <v>0.862068965517241</v>
      </c>
      <c r="C19" s="51" t="s">
        <v>635</v>
      </c>
      <c r="D19" s="64" t="s">
        <v>640</v>
      </c>
    </row>
    <row r="20" customFormat="false" ht="15" hidden="false" customHeight="false" outlineLevel="0" collapsed="false">
      <c r="A20" s="66" t="s">
        <v>641</v>
      </c>
      <c r="B20" s="67" t="n">
        <f aca="false">B17+B18-B19</f>
        <v>0.0163019946929831</v>
      </c>
      <c r="C20" s="66" t="s">
        <v>635</v>
      </c>
      <c r="D20" s="64" t="s">
        <v>642</v>
      </c>
    </row>
    <row r="21" customFormat="false" ht="15" hidden="false" customHeight="false" outlineLevel="0" collapsed="false">
      <c r="A21" s="51" t="s">
        <v>643</v>
      </c>
      <c r="B21" s="55" t="n">
        <f aca="false">B17+B18</f>
        <v>0.878370960210224</v>
      </c>
      <c r="C21" s="51" t="s">
        <v>635</v>
      </c>
      <c r="D21" s="64" t="s">
        <v>644</v>
      </c>
    </row>
    <row r="22" customFormat="false" ht="15" hidden="false" customHeight="false" outlineLevel="0" collapsed="false">
      <c r="A22" s="51" t="s">
        <v>645</v>
      </c>
      <c r="B22" s="55" t="n">
        <f aca="false">funda_rep</f>
        <v>0.45</v>
      </c>
      <c r="C22" s="51" t="s">
        <v>157</v>
      </c>
      <c r="D22" s="64" t="s">
        <v>646</v>
      </c>
    </row>
    <row r="23" customFormat="false" ht="15" hidden="false" customHeight="false" outlineLevel="0" collapsed="false">
      <c r="A23" s="50" t="s">
        <v>647</v>
      </c>
      <c r="B23" s="68" t="n">
        <f aca="false">B22-B20</f>
        <v>0.433698005307017</v>
      </c>
      <c r="C23" s="51" t="s">
        <v>157</v>
      </c>
      <c r="D23" s="64" t="s">
        <v>648</v>
      </c>
    </row>
    <row r="25" customFormat="false" ht="15" hidden="false" customHeight="false" outlineLevel="0" collapsed="false">
      <c r="A25" s="48" t="s">
        <v>649</v>
      </c>
      <c r="B25" s="48"/>
      <c r="C25" s="48"/>
      <c r="D25" s="48"/>
    </row>
    <row r="26" customFormat="false" ht="15" hidden="false" customHeight="false" outlineLevel="0" collapsed="false">
      <c r="A26" s="62" t="s">
        <v>108</v>
      </c>
      <c r="B26" s="63" t="s">
        <v>69</v>
      </c>
      <c r="C26" s="63" t="s">
        <v>109</v>
      </c>
      <c r="D26" s="63" t="s">
        <v>625</v>
      </c>
    </row>
    <row r="27" customFormat="false" ht="15" hidden="false" customHeight="false" outlineLevel="0" collapsed="false">
      <c r="A27" s="51" t="s">
        <v>650</v>
      </c>
      <c r="B27" s="57" t="n">
        <f aca="false">Palancas!B6</f>
        <v>151805.025</v>
      </c>
      <c r="C27" s="51" t="s">
        <v>265</v>
      </c>
      <c r="D27" s="64" t="s">
        <v>651</v>
      </c>
    </row>
    <row r="28" customFormat="false" ht="15" hidden="false" customHeight="false" outlineLevel="0" collapsed="false">
      <c r="A28" s="51" t="s">
        <v>652</v>
      </c>
      <c r="B28" s="57" t="n">
        <f aca="false">Palancas!B7</f>
        <v>85410.0364285714</v>
      </c>
      <c r="C28" s="51" t="s">
        <v>265</v>
      </c>
      <c r="D28" s="64" t="s">
        <v>653</v>
      </c>
    </row>
    <row r="29" customFormat="false" ht="15" hidden="false" customHeight="false" outlineLevel="0" collapsed="false">
      <c r="A29" s="51" t="s">
        <v>654</v>
      </c>
      <c r="B29" s="57" t="n">
        <f aca="false">B27+B28</f>
        <v>237215.061428571</v>
      </c>
      <c r="C29" s="51" t="s">
        <v>632</v>
      </c>
      <c r="D29" s="64"/>
    </row>
    <row r="30" customFormat="false" ht="15" hidden="false" customHeight="false" outlineLevel="0" collapsed="false">
      <c r="A30" s="51" t="s">
        <v>655</v>
      </c>
      <c r="B30" s="57" t="n">
        <f aca="false">B29/B16</f>
        <v>50943.8467793072</v>
      </c>
      <c r="C30" s="51" t="s">
        <v>265</v>
      </c>
      <c r="D30" s="64" t="s">
        <v>656</v>
      </c>
    </row>
    <row r="31" customFormat="false" ht="15" hidden="false" customHeight="false" outlineLevel="0" collapsed="false">
      <c r="A31" s="51" t="s">
        <v>657</v>
      </c>
      <c r="B31" s="69" t="n">
        <f aca="false">B30*B13</f>
        <v>132454.001626199</v>
      </c>
      <c r="C31" s="51" t="s">
        <v>490</v>
      </c>
      <c r="D31" s="64"/>
    </row>
    <row r="32" customFormat="false" ht="15" hidden="false" customHeight="false" outlineLevel="0" collapsed="false">
      <c r="A32" s="51" t="s">
        <v>658</v>
      </c>
      <c r="B32" s="69" t="n">
        <f aca="false">B29*B18</f>
        <v>75908.8196571429</v>
      </c>
      <c r="C32" s="51" t="s">
        <v>490</v>
      </c>
      <c r="D32" s="64"/>
    </row>
    <row r="33" customFormat="false" ht="15" hidden="false" customHeight="false" outlineLevel="0" collapsed="false">
      <c r="A33" s="51" t="s">
        <v>659</v>
      </c>
      <c r="B33" s="69" t="n">
        <f aca="false">B29*B19</f>
        <v>204495.742610837</v>
      </c>
      <c r="C33" s="51" t="s">
        <v>490</v>
      </c>
      <c r="D33" s="64" t="s">
        <v>660</v>
      </c>
    </row>
    <row r="34" customFormat="false" ht="15" hidden="false" customHeight="false" outlineLevel="0" collapsed="false">
      <c r="A34" s="51" t="s">
        <v>661</v>
      </c>
      <c r="B34" s="69" t="n">
        <f aca="false">B31+B32-B33</f>
        <v>3867.07867250423</v>
      </c>
      <c r="C34" s="51" t="s">
        <v>490</v>
      </c>
      <c r="D34" s="64"/>
    </row>
    <row r="35" customFormat="false" ht="15" hidden="false" customHeight="false" outlineLevel="0" collapsed="false">
      <c r="A35" s="51" t="s">
        <v>662</v>
      </c>
      <c r="B35" s="69" t="n">
        <f aca="false">B28*B22</f>
        <v>38434.5163928571</v>
      </c>
      <c r="C35" s="51" t="s">
        <v>490</v>
      </c>
      <c r="D35" s="64" t="s">
        <v>663</v>
      </c>
    </row>
    <row r="36" customFormat="false" ht="15" hidden="false" customHeight="false" outlineLevel="0" collapsed="false">
      <c r="A36" s="66" t="s">
        <v>664</v>
      </c>
      <c r="B36" s="70" t="n">
        <f aca="false">B35-B34</f>
        <v>34567.4377203529</v>
      </c>
      <c r="C36" s="66" t="s">
        <v>490</v>
      </c>
      <c r="D36" s="64" t="s">
        <v>665</v>
      </c>
    </row>
    <row r="38" customFormat="false" ht="15" hidden="false" customHeight="false" outlineLevel="0" collapsed="false">
      <c r="A38" s="48" t="s">
        <v>666</v>
      </c>
      <c r="B38" s="48"/>
      <c r="C38" s="48"/>
      <c r="D38" s="48"/>
    </row>
    <row r="39" customFormat="false" ht="15" hidden="false" customHeight="false" outlineLevel="0" collapsed="false">
      <c r="A39" s="62" t="s">
        <v>108</v>
      </c>
      <c r="B39" s="63" t="s">
        <v>69</v>
      </c>
      <c r="C39" s="63" t="s">
        <v>109</v>
      </c>
      <c r="D39" s="63" t="s">
        <v>625</v>
      </c>
    </row>
    <row r="40" customFormat="false" ht="15" hidden="false" customHeight="false" outlineLevel="0" collapsed="false">
      <c r="A40" s="51" t="s">
        <v>667</v>
      </c>
      <c r="B40" s="57" t="n">
        <f aca="false">B29/12</f>
        <v>19767.9217857143</v>
      </c>
      <c r="C40" s="51" t="s">
        <v>632</v>
      </c>
      <c r="D40" s="64"/>
    </row>
    <row r="41" customFormat="false" ht="15" hidden="false" customHeight="false" outlineLevel="0" collapsed="false">
      <c r="A41" s="51" t="s">
        <v>668</v>
      </c>
      <c r="B41" s="57" t="n">
        <f aca="false">cart_ciclo</f>
        <v>4</v>
      </c>
      <c r="C41" s="51" t="s">
        <v>141</v>
      </c>
      <c r="D41" s="64" t="s">
        <v>627</v>
      </c>
    </row>
    <row r="42" customFormat="false" ht="15" hidden="false" customHeight="false" outlineLevel="0" collapsed="false">
      <c r="A42" s="51" t="s">
        <v>669</v>
      </c>
      <c r="B42" s="57" t="n">
        <f aca="false">B40*B41/semanas_mes</f>
        <v>18261.359617288</v>
      </c>
      <c r="C42" s="51" t="s">
        <v>265</v>
      </c>
      <c r="D42" s="64" t="s">
        <v>670</v>
      </c>
    </row>
    <row r="43" customFormat="false" ht="15" hidden="false" customHeight="false" outlineLevel="0" collapsed="false">
      <c r="A43" s="51" t="s">
        <v>671</v>
      </c>
      <c r="B43" s="69" t="n">
        <f aca="false">B42*B13</f>
        <v>47479.5350049489</v>
      </c>
      <c r="C43" s="51" t="s">
        <v>490</v>
      </c>
      <c r="D43" s="64" t="s">
        <v>672</v>
      </c>
    </row>
    <row r="44" customFormat="false" ht="15" hidden="false" customHeight="false" outlineLevel="0" collapsed="false">
      <c r="A44" s="51" t="s">
        <v>673</v>
      </c>
      <c r="B44" s="69" t="n">
        <f aca="false">B42*cart_deposito</f>
        <v>91306.7980864401</v>
      </c>
      <c r="C44" s="51" t="s">
        <v>490</v>
      </c>
      <c r="D44" s="64" t="s">
        <v>674</v>
      </c>
    </row>
    <row r="45" customFormat="false" ht="15" hidden="false" customHeight="false" outlineLevel="0" collapsed="false">
      <c r="A45" s="51" t="s">
        <v>675</v>
      </c>
      <c r="B45" s="57" t="n">
        <f aca="false">B30</f>
        <v>50943.8467793072</v>
      </c>
      <c r="C45" s="51" t="s">
        <v>265</v>
      </c>
      <c r="D45" s="64" t="s">
        <v>676</v>
      </c>
    </row>
    <row r="47" customFormat="false" ht="15" hidden="false" customHeight="false" outlineLevel="0" collapsed="false">
      <c r="A47" s="48" t="s">
        <v>677</v>
      </c>
      <c r="B47" s="48"/>
      <c r="C47" s="48"/>
      <c r="D47" s="48"/>
    </row>
    <row r="48" customFormat="false" ht="15" hidden="false" customHeight="false" outlineLevel="0" collapsed="false">
      <c r="A48" s="51" t="s">
        <v>678</v>
      </c>
    </row>
    <row r="49" customFormat="false" ht="15" hidden="false" customHeight="false" outlineLevel="0" collapsed="false">
      <c r="A49" s="51" t="s">
        <v>679</v>
      </c>
    </row>
    <row r="50" customFormat="false" ht="15" hidden="false" customHeight="false" outlineLevel="0" collapsed="false">
      <c r="A50" s="51" t="s">
        <v>680</v>
      </c>
    </row>
    <row r="51" customFormat="false" ht="15" hidden="false" customHeight="false" outlineLevel="0" collapsed="false">
      <c r="A51" s="51" t="s">
        <v>681</v>
      </c>
    </row>
    <row r="52" customFormat="false" ht="15" hidden="false" customHeight="false" outlineLevel="0" collapsed="false">
      <c r="A52" s="51" t="s">
        <v>682</v>
      </c>
    </row>
    <row r="53" customFormat="false" ht="15" hidden="false" customHeight="false" outlineLevel="0" collapsed="false">
      <c r="A53" s="51" t="s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6"/>
    <col collapsed="false" customWidth="true" hidden="false" outlineLevel="0" max="6" min="6" style="1" width="48"/>
    <col collapsed="false" customWidth="true" hidden="false" outlineLevel="0" max="7" min="7" style="1" width="10"/>
  </cols>
  <sheetData>
    <row r="1" customFormat="false" ht="18" hidden="false" customHeight="true" outlineLevel="0" collapsed="false">
      <c r="A1" s="2" t="s">
        <v>684</v>
      </c>
    </row>
    <row r="2" customFormat="false" ht="15" hidden="false" customHeight="true" outlineLevel="0" collapsed="false">
      <c r="A2" s="3" t="s">
        <v>685</v>
      </c>
    </row>
    <row r="4" customFormat="false" ht="15" hidden="false" customHeight="true" outlineLevel="0" collapsed="false">
      <c r="A4" s="17" t="s">
        <v>108</v>
      </c>
      <c r="B4" s="18" t="s">
        <v>80</v>
      </c>
      <c r="C4" s="18" t="s">
        <v>81</v>
      </c>
      <c r="D4" s="18" t="s">
        <v>82</v>
      </c>
      <c r="E4" s="18" t="s">
        <v>83</v>
      </c>
      <c r="F4" s="18" t="s">
        <v>532</v>
      </c>
    </row>
    <row r="5" customFormat="false" ht="15" hidden="false" customHeight="true" outlineLevel="0" collapsed="false">
      <c r="A5" s="21" t="s">
        <v>609</v>
      </c>
      <c r="B5" s="37" t="n">
        <f aca="false">p_sem</f>
        <v>49</v>
      </c>
      <c r="C5" s="37" t="n">
        <f aca="false">p_rep</f>
        <v>34</v>
      </c>
      <c r="D5" s="37" t="n">
        <f aca="false">p_tem</f>
        <v>65</v>
      </c>
      <c r="E5" s="37" t="n">
        <f aca="false">p_per</f>
        <v>99</v>
      </c>
      <c r="F5" s="40"/>
    </row>
    <row r="6" customFormat="false" ht="15" hidden="false" customHeight="true" outlineLevel="0" collapsed="false">
      <c r="A6" s="5" t="s">
        <v>686</v>
      </c>
      <c r="B6" s="26" t="n">
        <f aca="false">B5/(1+iva)</f>
        <v>42.2413793103448</v>
      </c>
      <c r="C6" s="26" t="n">
        <f aca="false">C5/(1+iva)</f>
        <v>29.3103448275862</v>
      </c>
      <c r="D6" s="26" t="n">
        <f aca="false">D5/(1+iva)</f>
        <v>56.0344827586207</v>
      </c>
      <c r="E6" s="26" t="n">
        <f aca="false">E5/(1+iva)</f>
        <v>85.3448275862069</v>
      </c>
      <c r="F6" s="40"/>
    </row>
    <row r="7" customFormat="false" ht="15" hidden="false" customHeight="true" outlineLevel="0" collapsed="false">
      <c r="A7" s="5" t="s">
        <v>687</v>
      </c>
      <c r="B7" s="26" t="n">
        <f aca="false">B5-B6</f>
        <v>6.75862068965517</v>
      </c>
      <c r="C7" s="26" t="n">
        <f aca="false">C5-C6</f>
        <v>4.68965517241379</v>
      </c>
      <c r="D7" s="26" t="n">
        <f aca="false">D5-D6</f>
        <v>8.96551724137931</v>
      </c>
      <c r="E7" s="26" t="n">
        <f aca="false">E5-E6</f>
        <v>13.6551724137931</v>
      </c>
      <c r="F7" s="40"/>
    </row>
    <row r="8" customFormat="false" ht="15" hidden="false" customHeight="true" outlineLevel="0" collapsed="false">
      <c r="A8" s="5" t="s">
        <v>688</v>
      </c>
      <c r="B8" s="26" t="n">
        <f aca="false">B5*(1-m_tienda)</f>
        <v>35.77</v>
      </c>
      <c r="C8" s="26" t="n">
        <f aca="false">C5*(1-m_tienda)</f>
        <v>24.82</v>
      </c>
      <c r="D8" s="26" t="n">
        <f aca="false">D5*(1-m_tienda)</f>
        <v>47.45</v>
      </c>
      <c r="E8" s="26" t="n">
        <f aca="false">E5*(1-m_tienda)</f>
        <v>72.27</v>
      </c>
      <c r="F8" s="40"/>
    </row>
    <row r="9" customFormat="false" ht="15" hidden="false" customHeight="true" outlineLevel="0" collapsed="false">
      <c r="A9" s="21" t="s">
        <v>689</v>
      </c>
      <c r="B9" s="37" t="n">
        <f aca="false">B5-B8</f>
        <v>13.23</v>
      </c>
      <c r="C9" s="37" t="n">
        <f aca="false">C5-C8</f>
        <v>9.18</v>
      </c>
      <c r="D9" s="37" t="n">
        <f aca="false">D5-D8</f>
        <v>17.55</v>
      </c>
      <c r="E9" s="37" t="n">
        <f aca="false">E5-E8</f>
        <v>26.73</v>
      </c>
      <c r="F9" s="40"/>
    </row>
    <row r="10" customFormat="false" ht="15" hidden="false" customHeight="true" outlineLevel="0" collapsed="false">
      <c r="A10" s="5" t="s">
        <v>690</v>
      </c>
      <c r="B10" s="26" t="n">
        <f aca="false">B8*(1-m_dist)</f>
        <v>29.6891</v>
      </c>
      <c r="C10" s="26" t="n">
        <f aca="false">C8*(1-m_dist)</f>
        <v>20.6006</v>
      </c>
      <c r="D10" s="26" t="n">
        <f aca="false">D8*(1-m_dist)</f>
        <v>39.3835</v>
      </c>
      <c r="E10" s="26" t="n">
        <f aca="false">E8*(1-m_dist)</f>
        <v>59.9841</v>
      </c>
      <c r="F10" s="40"/>
    </row>
    <row r="11" customFormat="false" ht="15" hidden="false" customHeight="true" outlineLevel="0" collapsed="false">
      <c r="A11" s="21" t="s">
        <v>691</v>
      </c>
      <c r="B11" s="37" t="n">
        <f aca="false">B8-B10</f>
        <v>6.0809</v>
      </c>
      <c r="C11" s="37" t="n">
        <f aca="false">C8-C10</f>
        <v>4.2194</v>
      </c>
      <c r="D11" s="37" t="n">
        <f aca="false">D8-D10</f>
        <v>8.0665</v>
      </c>
      <c r="E11" s="37" t="n">
        <f aca="false">E8-E10</f>
        <v>12.2859</v>
      </c>
      <c r="F11" s="40"/>
    </row>
    <row r="12" customFormat="false" ht="15" hidden="false" customHeight="true" outlineLevel="0" collapsed="false">
      <c r="A12" s="5" t="s">
        <v>692</v>
      </c>
      <c r="B12" s="26" t="n">
        <f aca="false">B10/(1+iva)</f>
        <v>25.5940517241379</v>
      </c>
      <c r="C12" s="26" t="n">
        <f aca="false">C10/(1+iva)</f>
        <v>17.7591379310345</v>
      </c>
      <c r="D12" s="26" t="n">
        <f aca="false">D10/(1+iva)</f>
        <v>33.9512931034483</v>
      </c>
      <c r="E12" s="26" t="n">
        <f aca="false">E10/(1+iva)</f>
        <v>51.7104310344828</v>
      </c>
      <c r="F12" s="40"/>
    </row>
    <row r="13" customFormat="false" ht="15" hidden="false" customHeight="true" outlineLevel="0" collapsed="false">
      <c r="A13" s="5" t="s">
        <v>693</v>
      </c>
      <c r="B13" s="26" t="n">
        <f aca="false">Costeo!C28</f>
        <v>20.1651851130828</v>
      </c>
      <c r="C13" s="26" t="n">
        <f aca="false">Costeo!D28</f>
        <v>14.7747628908605</v>
      </c>
      <c r="D13" s="26" t="n">
        <f aca="false">Costeo!E28</f>
        <v>21.3831851130828</v>
      </c>
      <c r="E13" s="26" t="n">
        <f aca="false">Costeo!F28</f>
        <v>25.2401851130828</v>
      </c>
      <c r="F13" s="40"/>
    </row>
    <row r="14" customFormat="false" ht="15" hidden="false" customHeight="true" outlineLevel="0" collapsed="false">
      <c r="A14" s="21" t="s">
        <v>694</v>
      </c>
      <c r="B14" s="37" t="n">
        <f aca="false">B12-B13</f>
        <v>5.42886661105517</v>
      </c>
      <c r="C14" s="37" t="n">
        <f aca="false">C12-C13</f>
        <v>2.98437504017395</v>
      </c>
      <c r="D14" s="37" t="n">
        <f aca="false">D12-D13</f>
        <v>12.5681079903655</v>
      </c>
      <c r="E14" s="37" t="n">
        <f aca="false">E12-E13</f>
        <v>26.4702459214</v>
      </c>
      <c r="F14" s="40"/>
    </row>
    <row r="15" customFormat="false" ht="15" hidden="false" customHeight="true" outlineLevel="0" collapsed="false">
      <c r="A15" s="5" t="s">
        <v>695</v>
      </c>
      <c r="B15" s="20" t="n">
        <f aca="false">IFERROR(B14/B12,0)</f>
        <v>0.212114387732333</v>
      </c>
      <c r="C15" s="20" t="n">
        <f aca="false">IFERROR(C14/C12,0)</f>
        <v>0.168047292146917</v>
      </c>
      <c r="D15" s="20" t="n">
        <f aca="false">IFERROR(D14/D12,0)</f>
        <v>0.370180539282288</v>
      </c>
      <c r="E15" s="20" t="n">
        <f aca="false">IFERROR(E14/E12,0)</f>
        <v>0.511893739654742</v>
      </c>
      <c r="F15" s="40"/>
    </row>
    <row r="17" customFormat="false" ht="15" hidden="false" customHeight="true" outlineLevel="0" collapsed="false">
      <c r="A17" s="28" t="s">
        <v>696</v>
      </c>
      <c r="B17" s="29"/>
      <c r="C17" s="29"/>
      <c r="D17" s="29"/>
      <c r="E17" s="29"/>
      <c r="F17" s="29"/>
    </row>
    <row r="18" customFormat="false" ht="15" hidden="false" customHeight="true" outlineLevel="0" collapsed="false">
      <c r="A18" s="5" t="s">
        <v>697</v>
      </c>
      <c r="B18" s="20" t="n">
        <f aca="false">B9/B5</f>
        <v>0.27</v>
      </c>
      <c r="C18" s="20" t="n">
        <f aca="false">C9/C5</f>
        <v>0.27</v>
      </c>
      <c r="D18" s="20" t="n">
        <f aca="false">D9/D5</f>
        <v>0.27</v>
      </c>
      <c r="E18" s="20" t="n">
        <f aca="false">E9/E5</f>
        <v>0.27</v>
      </c>
      <c r="F18" s="40"/>
    </row>
    <row r="19" customFormat="false" ht="15" hidden="false" customHeight="true" outlineLevel="0" collapsed="false">
      <c r="A19" s="5" t="s">
        <v>30</v>
      </c>
      <c r="B19" s="20" t="n">
        <f aca="false">B11/B5</f>
        <v>0.1241</v>
      </c>
      <c r="C19" s="20" t="n">
        <f aca="false">C11/C5</f>
        <v>0.1241</v>
      </c>
      <c r="D19" s="20" t="n">
        <f aca="false">D11/D5</f>
        <v>0.1241</v>
      </c>
      <c r="E19" s="20" t="n">
        <f aca="false">E11/E5</f>
        <v>0.1241</v>
      </c>
      <c r="F19" s="40"/>
    </row>
    <row r="20" customFormat="false" ht="15" hidden="false" customHeight="true" outlineLevel="0" collapsed="false">
      <c r="A20" s="5" t="s">
        <v>698</v>
      </c>
      <c r="B20" s="20" t="n">
        <f aca="false">(B10-B12)/B5</f>
        <v>0.0835724137931034</v>
      </c>
      <c r="C20" s="20" t="n">
        <f aca="false">(C10-C12)/C5</f>
        <v>0.0835724137931034</v>
      </c>
      <c r="D20" s="20" t="n">
        <f aca="false">(D10-D12)/D5</f>
        <v>0.0835724137931034</v>
      </c>
      <c r="E20" s="20" t="n">
        <f aca="false">(E10-E12)/E5</f>
        <v>0.0835724137931034</v>
      </c>
      <c r="F20" s="40"/>
    </row>
    <row r="21" customFormat="false" ht="15" hidden="false" customHeight="true" outlineLevel="0" collapsed="false">
      <c r="A21" s="5" t="s">
        <v>699</v>
      </c>
      <c r="B21" s="20" t="n">
        <f aca="false">B13/B5</f>
        <v>0.411534390062914</v>
      </c>
      <c r="C21" s="20" t="n">
        <f aca="false">C13/C5</f>
        <v>0.434551849731192</v>
      </c>
      <c r="D21" s="20" t="n">
        <f aca="false">D13/D5</f>
        <v>0.328972078662812</v>
      </c>
      <c r="E21" s="20" t="n">
        <f aca="false">E13/E5</f>
        <v>0.254951364778614</v>
      </c>
      <c r="F21" s="40"/>
    </row>
    <row r="22" customFormat="false" ht="15" hidden="false" customHeight="true" outlineLevel="0" collapsed="false">
      <c r="A22" s="21" t="s">
        <v>700</v>
      </c>
      <c r="B22" s="25" t="n">
        <f aca="false">B14/B5</f>
        <v>0.110793196143983</v>
      </c>
      <c r="C22" s="25" t="n">
        <f aca="false">C14/C5</f>
        <v>0.0877757364757043</v>
      </c>
      <c r="D22" s="25" t="n">
        <f aca="false">D14/D5</f>
        <v>0.193355507544085</v>
      </c>
      <c r="E22" s="25" t="n">
        <f aca="false">E14/E5</f>
        <v>0.267376221428283</v>
      </c>
      <c r="F22" s="40"/>
    </row>
    <row r="23" customFormat="false" ht="15" hidden="false" customHeight="true" outlineLevel="0" collapsed="false">
      <c r="A23" s="5" t="s">
        <v>701</v>
      </c>
      <c r="B23" s="20" t="n">
        <f aca="false">SUM(B18:B22)</f>
        <v>1</v>
      </c>
      <c r="C23" s="20" t="n">
        <f aca="false">SUM(C18:C22)</f>
        <v>1</v>
      </c>
      <c r="D23" s="20" t="n">
        <f aca="false">SUM(D18:D22)</f>
        <v>1</v>
      </c>
      <c r="E23" s="20" t="n">
        <f aca="false">SUM(E18:E22)</f>
        <v>1</v>
      </c>
      <c r="F23" s="40"/>
    </row>
    <row r="25" customFormat="false" ht="15" hidden="false" customHeight="true" outlineLevel="0" collapsed="false">
      <c r="A25" s="28" t="s">
        <v>702</v>
      </c>
      <c r="B25" s="29"/>
      <c r="C25" s="29"/>
      <c r="D25" s="29"/>
      <c r="E25" s="29"/>
      <c r="F25" s="29"/>
    </row>
    <row r="26" customFormat="false" ht="15" hidden="false" customHeight="true" outlineLevel="0" collapsed="false">
      <c r="A26" s="5" t="s">
        <v>703</v>
      </c>
      <c r="B26" s="20" t="n">
        <f aca="false">mix_sem</f>
        <v>0.35</v>
      </c>
      <c r="C26" s="20" t="n">
        <f aca="false">mix_rep</f>
        <v>0.4</v>
      </c>
      <c r="D26" s="20" t="n">
        <f aca="false">mix_tem</f>
        <v>0.18</v>
      </c>
      <c r="E26" s="20" t="n">
        <f aca="false">mix_per</f>
        <v>0.07</v>
      </c>
      <c r="F26" s="40"/>
    </row>
    <row r="27" customFormat="false" ht="15" hidden="false" customHeight="true" outlineLevel="0" collapsed="false">
      <c r="A27" s="5" t="s">
        <v>704</v>
      </c>
      <c r="B27" s="20" t="n">
        <f aca="false">mix_alta_sem</f>
        <v>0.3</v>
      </c>
      <c r="C27" s="20" t="n">
        <f aca="false">mix_alta_rep</f>
        <v>0.3</v>
      </c>
      <c r="D27" s="20" t="n">
        <f aca="false">mix_alta_tem</f>
        <v>0.32</v>
      </c>
      <c r="E27" s="20" t="n">
        <f aca="false">mix_alta_per</f>
        <v>0.08</v>
      </c>
      <c r="F27" s="40"/>
    </row>
    <row r="28" customFormat="false" ht="15" hidden="false" customHeight="true" outlineLevel="0" collapsed="false">
      <c r="A28" s="21" t="s">
        <v>705</v>
      </c>
      <c r="B28" s="37" t="n">
        <f aca="false">SUMPRODUCT($B$26:$E$26,$B$14:$E$14)</f>
        <v>7.20902998270268</v>
      </c>
    </row>
    <row r="29" customFormat="false" ht="15" hidden="false" customHeight="true" outlineLevel="0" collapsed="false">
      <c r="A29" s="21" t="s">
        <v>706</v>
      </c>
      <c r="B29" s="37" t="n">
        <f aca="false">SUMPRODUCT($B$27:$E$27,$B$14:$E$14)</f>
        <v>8.6633867259977</v>
      </c>
    </row>
    <row r="30" customFormat="false" ht="15" hidden="false" customHeight="true" outlineLevel="0" collapsed="false">
      <c r="A30" s="21" t="s">
        <v>707</v>
      </c>
      <c r="B30" s="37" t="n">
        <f aca="false">SUMPRODUCT($B$26:$E$26,$B$5:$E$5)</f>
        <v>49.38</v>
      </c>
    </row>
    <row r="31" customFormat="false" ht="15" hidden="false" customHeight="true" outlineLevel="0" collapsed="false">
      <c r="A31" s="21" t="s">
        <v>708</v>
      </c>
      <c r="B31" s="37" t="n">
        <f aca="false">SUMPRODUCT($B$26:$E$26,$B$9:$E$9)</f>
        <v>13.3326</v>
      </c>
    </row>
    <row r="32" customFormat="false" ht="15" hidden="false" customHeight="true" outlineLevel="0" collapsed="false">
      <c r="A32" s="21" t="s">
        <v>709</v>
      </c>
      <c r="B32" s="37" t="n">
        <f aca="false">SUMPRODUCT($B$26:$E$26,$B$11:$E$11)</f>
        <v>6.128058</v>
      </c>
    </row>
    <row r="33" customFormat="false" ht="15" hidden="false" customHeight="true" outlineLevel="0" collapsed="false">
      <c r="A33" s="21" t="s">
        <v>710</v>
      </c>
      <c r="B33" s="37" t="n">
        <f aca="false">SUMPRODUCT($B$26:$E$26,$B$12:$E$12)</f>
        <v>25.7925362068966</v>
      </c>
    </row>
    <row r="34" customFormat="false" ht="15" hidden="false" customHeight="true" outlineLevel="0" collapsed="false">
      <c r="A34" s="21" t="s">
        <v>711</v>
      </c>
      <c r="B34" s="37" t="n">
        <f aca="false">SUMPRODUCT($B$26:$E$26,$B$13:$E$13)</f>
        <v>18.5835062241939</v>
      </c>
    </row>
    <row r="36" customFormat="false" ht="15" hidden="false" customHeight="true" outlineLevel="0" collapsed="false">
      <c r="A36" s="28" t="s">
        <v>712</v>
      </c>
      <c r="B36" s="29"/>
      <c r="C36" s="29"/>
      <c r="D36" s="29"/>
      <c r="E36" s="29"/>
      <c r="F36" s="29"/>
      <c r="G36" s="29"/>
    </row>
    <row r="37" customFormat="false" ht="15" hidden="false" customHeight="true" outlineLevel="0" collapsed="false">
      <c r="A37" s="17" t="s">
        <v>713</v>
      </c>
      <c r="B37" s="18" t="s">
        <v>714</v>
      </c>
      <c r="C37" s="18" t="s">
        <v>715</v>
      </c>
      <c r="D37" s="18" t="s">
        <v>716</v>
      </c>
      <c r="E37" s="18" t="s">
        <v>717</v>
      </c>
      <c r="F37" s="18" t="s">
        <v>718</v>
      </c>
      <c r="G37" s="18" t="s">
        <v>109</v>
      </c>
    </row>
    <row r="38" customFormat="false" ht="15" hidden="false" customHeight="true" outlineLevel="0" collapsed="false">
      <c r="A38" s="5" t="s">
        <v>719</v>
      </c>
      <c r="B38" s="26" t="n">
        <f aca="false">p_parroquia</f>
        <v>42</v>
      </c>
      <c r="C38" s="26" t="n">
        <f aca="false">B38/(1+iva)</f>
        <v>36.2068965517241</v>
      </c>
      <c r="D38" s="26" t="n">
        <f aca="false">cost_rep</f>
        <v>14.7747628908605</v>
      </c>
      <c r="E38" s="37" t="n">
        <f aca="false">C38-D38</f>
        <v>21.4321336608636</v>
      </c>
      <c r="F38" s="20" t="n">
        <f aca="false">IFERROR(E38/C38,0)</f>
        <v>0.591935120157185</v>
      </c>
      <c r="G38" s="3" t="s">
        <v>720</v>
      </c>
    </row>
    <row r="39" customFormat="false" ht="15" hidden="false" customHeight="true" outlineLevel="0" collapsed="false">
      <c r="A39" s="5" t="s">
        <v>721</v>
      </c>
      <c r="B39" s="26" t="n">
        <f aca="false">p_rest</f>
        <v>40</v>
      </c>
      <c r="C39" s="26" t="n">
        <f aca="false">B39/(1+iva)</f>
        <v>34.4827586206897</v>
      </c>
      <c r="D39" s="26" t="n">
        <f aca="false">cost_rep</f>
        <v>14.7747628908605</v>
      </c>
      <c r="E39" s="37" t="n">
        <f aca="false">C39-D39</f>
        <v>19.7079957298291</v>
      </c>
      <c r="F39" s="20" t="n">
        <f aca="false">IFERROR(E39/C39,0)</f>
        <v>0.571531876165045</v>
      </c>
      <c r="G39" s="3" t="s">
        <v>720</v>
      </c>
    </row>
    <row r="40" customFormat="false" ht="15" hidden="false" customHeight="true" outlineLevel="0" collapsed="false">
      <c r="A40" s="5" t="s">
        <v>722</v>
      </c>
      <c r="B40" s="26" t="n">
        <f aca="false">p_sem</f>
        <v>49</v>
      </c>
      <c r="C40" s="26" t="n">
        <f aca="false">B40*(1-org_pct)/(1+iva)</f>
        <v>29.5689655172414</v>
      </c>
      <c r="D40" s="26" t="n">
        <f aca="false">cost_sem</f>
        <v>20.1651851130828</v>
      </c>
      <c r="E40" s="37" t="n">
        <f aca="false">C40-D40</f>
        <v>9.40378040415862</v>
      </c>
      <c r="F40" s="20" t="n">
        <f aca="false">IFERROR(E40/C40,0)</f>
        <v>0.3180287250386</v>
      </c>
      <c r="G40" s="3" t="s">
        <v>720</v>
      </c>
    </row>
    <row r="41" customFormat="false" ht="15" hidden="false" customHeight="true" outlineLevel="0" collapsed="false">
      <c r="A41" s="5" t="s">
        <v>723</v>
      </c>
      <c r="B41" s="26" t="n">
        <f aca="false">p_corp</f>
        <v>249</v>
      </c>
      <c r="C41" s="26" t="n">
        <f aca="false">B41/(1+iva)</f>
        <v>214.655172413793</v>
      </c>
      <c r="D41" s="26" t="n">
        <f aca="false">cost_corp</f>
        <v>48.3821851130828</v>
      </c>
      <c r="E41" s="37" t="n">
        <f aca="false">C41-D41</f>
        <v>166.27298730071</v>
      </c>
      <c r="F41" s="20" t="n">
        <f aca="false">IFERROR(E41/C41,0)</f>
        <v>0.7746050814009</v>
      </c>
      <c r="G41" s="3" t="s">
        <v>720</v>
      </c>
    </row>
    <row r="42" customFormat="false" ht="15" hidden="false" customHeight="true" outlineLevel="0" collapsed="false">
      <c r="A42" s="5" t="s">
        <v>724</v>
      </c>
      <c r="B42" s="26" t="n">
        <f aca="false">p_premium</f>
        <v>850</v>
      </c>
      <c r="C42" s="26" t="n">
        <f aca="false">B42/(1+iva)</f>
        <v>732.758620689655</v>
      </c>
      <c r="D42" s="26" t="n">
        <f aca="false">costo_prem</f>
        <v>320</v>
      </c>
      <c r="E42" s="37" t="n">
        <f aca="false">C42-D42</f>
        <v>412.758620689655</v>
      </c>
      <c r="F42" s="20" t="n">
        <f aca="false">IFERROR(E42/C42,0)</f>
        <v>0.563294117647059</v>
      </c>
      <c r="G42" s="3" t="s">
        <v>720</v>
      </c>
    </row>
    <row r="43" customFormat="false" ht="15" hidden="false" customHeight="true" outlineLevel="0" collapsed="false">
      <c r="A43" s="5" t="s">
        <v>181</v>
      </c>
      <c r="B43" s="26" t="n">
        <f aca="false">p_rec_prem</f>
        <v>320</v>
      </c>
      <c r="C43" s="26" t="n">
        <f aca="false">B43/(1+iva)</f>
        <v>275.862068965517</v>
      </c>
      <c r="D43" s="26" t="n">
        <f aca="false">costo_rec_prem</f>
        <v>120</v>
      </c>
      <c r="E43" s="37" t="n">
        <f aca="false">C43-D43</f>
        <v>155.862068965517</v>
      </c>
      <c r="F43" s="20" t="n">
        <f aca="false">IFERROR(E43/C43,0)</f>
        <v>0.565</v>
      </c>
      <c r="G43" s="3" t="s">
        <v>720</v>
      </c>
    </row>
    <row r="44" customFormat="false" ht="15" hidden="false" customHeight="true" outlineLevel="0" collapsed="false">
      <c r="A44" s="5" t="s">
        <v>725</v>
      </c>
      <c r="B44" s="26" t="n">
        <f aca="false">ticket_ins</f>
        <v>329</v>
      </c>
      <c r="C44" s="26" t="n">
        <f aca="false">B44/(1+iva)</f>
        <v>283.620689655172</v>
      </c>
      <c r="D44" s="26" t="n">
        <f aca="false">C44*(costo_ins_pct+comision_mp+publicidad_ins)+envio_ins</f>
        <v>235.318965517241</v>
      </c>
      <c r="E44" s="37" t="n">
        <f aca="false">C44-D44</f>
        <v>48.301724137931</v>
      </c>
      <c r="F44" s="20" t="n">
        <f aca="false">IFERROR(E44/C44,0)</f>
        <v>0.170303951367781</v>
      </c>
      <c r="G44" s="3" t="s">
        <v>726</v>
      </c>
    </row>
    <row r="45" customFormat="false" ht="15" hidden="false" customHeight="true" outlineLevel="0" collapsed="false">
      <c r="A45" s="5" t="s">
        <v>727</v>
      </c>
      <c r="B45" s="26" t="n">
        <f aca="false">p_taller</f>
        <v>750</v>
      </c>
      <c r="C45" s="26" t="n">
        <f aca="false">B45/(1+iva)</f>
        <v>646.551724137931</v>
      </c>
      <c r="D45" s="26" t="n">
        <f aca="false">costo_mat_taller+costo_fijo_taller/asist_taller</f>
        <v>265</v>
      </c>
      <c r="E45" s="37" t="n">
        <f aca="false">C45-D45</f>
        <v>381.551724137931</v>
      </c>
      <c r="F45" s="20" t="n">
        <f aca="false">IFERROR(E45/C45,0)</f>
        <v>0.590133333333333</v>
      </c>
      <c r="G45" s="3" t="s">
        <v>728</v>
      </c>
    </row>
    <row r="47" customFormat="false" ht="15" hidden="false" customHeight="true" outlineLevel="0" collapsed="false">
      <c r="A47" s="28" t="s">
        <v>729</v>
      </c>
      <c r="B47" s="29"/>
      <c r="C47" s="29"/>
      <c r="D47" s="29"/>
      <c r="E47" s="29"/>
      <c r="F47" s="29"/>
    </row>
    <row r="48" customFormat="false" ht="15" hidden="false" customHeight="true" outlineLevel="0" collapsed="false">
      <c r="A48" s="17" t="s">
        <v>108</v>
      </c>
      <c r="B48" s="18" t="s">
        <v>91</v>
      </c>
      <c r="C48" s="18" t="s">
        <v>92</v>
      </c>
      <c r="D48" s="18" t="s">
        <v>93</v>
      </c>
      <c r="E48" s="18"/>
      <c r="F48" s="18" t="s">
        <v>532</v>
      </c>
    </row>
    <row r="49" customFormat="false" ht="15" hidden="false" customHeight="true" outlineLevel="0" collapsed="false">
      <c r="A49" s="5" t="s">
        <v>730</v>
      </c>
      <c r="B49" s="26" t="n">
        <f aca="false">Supuestos!$D$39*Supuestos!$D$9/1000*Supuestos!$D$40</f>
        <v>33.5482125</v>
      </c>
      <c r="C49" s="26" t="n">
        <f aca="false">Supuestos!$E$39*Supuestos!$E$9/1000*Supuestos!$E$40</f>
        <v>29.522427</v>
      </c>
      <c r="D49" s="26" t="n">
        <f aca="false">C49-B49</f>
        <v>-4.02578549999999</v>
      </c>
      <c r="F49" s="40"/>
    </row>
    <row r="50" customFormat="false" ht="15" hidden="false" customHeight="true" outlineLevel="0" collapsed="false">
      <c r="A50" s="5" t="s">
        <v>99</v>
      </c>
      <c r="B50" s="22" t="n">
        <f aca="false">Supuestos!$D$36*Supuestos!$D$35*(1+Supuestos!$D$37)</f>
        <v>458.64</v>
      </c>
      <c r="C50" s="22" t="n">
        <f aca="false">Supuestos!$E$36*Supuestos!$E$35*(1+Supuestos!$E$37)</f>
        <v>397.992</v>
      </c>
      <c r="D50" s="22" t="n">
        <f aca="false">C50-B50</f>
        <v>-60.6480000000001</v>
      </c>
      <c r="F50" s="40"/>
    </row>
    <row r="51" customFormat="false" ht="15" hidden="false" customHeight="true" outlineLevel="0" collapsed="false">
      <c r="A51" s="5" t="s">
        <v>731</v>
      </c>
      <c r="B51" s="26" t="n">
        <f aca="false">B50/1000*B49</f>
        <v>15.386552181</v>
      </c>
      <c r="C51" s="26" t="n">
        <f aca="false">C50/1000*C49</f>
        <v>11.749689766584</v>
      </c>
      <c r="D51" s="26" t="n">
        <f aca="false">C51-B51</f>
        <v>-3.636862414416</v>
      </c>
      <c r="F51" s="40"/>
    </row>
    <row r="52" customFormat="false" ht="15" hidden="false" customHeight="true" outlineLevel="0" collapsed="false">
      <c r="A52" s="5" t="s">
        <v>732</v>
      </c>
      <c r="B52" s="26" t="n">
        <f aca="false">Supuestos!$D$55/(Supuestos!$D$56*Supuestos!$D$57)</f>
        <v>0.486111111111111</v>
      </c>
      <c r="C52" s="26" t="n">
        <f aca="false">Supuestos!$E$55/(Supuestos!$E$56*Supuestos!$E$57)</f>
        <v>0.25</v>
      </c>
      <c r="D52" s="26" t="n">
        <f aca="false">C52-B52</f>
        <v>-0.236111111111111</v>
      </c>
      <c r="F52" s="40"/>
    </row>
    <row r="53" customFormat="false" ht="15" hidden="false" customHeight="true" outlineLevel="0" collapsed="false">
      <c r="A53" s="5" t="s">
        <v>733</v>
      </c>
      <c r="B53" s="26" t="n">
        <f aca="false">Supuestos!$D$55/(Supuestos!$D$56*Supuestos!$D$58)</f>
        <v>0.25</v>
      </c>
      <c r="C53" s="26" t="n">
        <f aca="false">Supuestos!$E$55/(Supuestos!$E$56*Supuestos!$E$58)</f>
        <v>0.111111111111111</v>
      </c>
      <c r="D53" s="26" t="n">
        <f aca="false">C53-B53</f>
        <v>-0.138888888888889</v>
      </c>
      <c r="F53" s="40"/>
    </row>
    <row r="54" customFormat="false" ht="15" hidden="false" customHeight="true" outlineLevel="0" collapsed="false">
      <c r="A54" s="5" t="s">
        <v>734</v>
      </c>
      <c r="B54" s="26" t="n">
        <f aca="false">B51+Supuestos!$D$41+Supuestos!$D$43+Supuestos!$D$44+Supuestos!$D$49+B52</f>
        <v>23.2226632921111</v>
      </c>
      <c r="C54" s="26" t="n">
        <f aca="false">C51+Supuestos!$E$41+Supuestos!$E$43+Supuestos!$E$44+Supuestos!$E$49+C52</f>
        <v>17.699689766584</v>
      </c>
      <c r="D54" s="26" t="n">
        <f aca="false">C54-B54</f>
        <v>-5.52297352552711</v>
      </c>
      <c r="F54" s="40"/>
    </row>
    <row r="55" customFormat="false" ht="15" hidden="false" customHeight="true" outlineLevel="0" collapsed="false">
      <c r="A55" s="5" t="s">
        <v>735</v>
      </c>
      <c r="B55" s="26" t="n">
        <f aca="false">B51+Supuestos!$D$43+Supuestos!$D$48+Supuestos!$D$50+B53</f>
        <v>17.036552181</v>
      </c>
      <c r="C55" s="26" t="n">
        <f aca="false">C51+Supuestos!$E$43+Supuestos!$E$48+Supuestos!$E$50+C53</f>
        <v>12.9308008776951</v>
      </c>
      <c r="D55" s="26" t="n">
        <f aca="false">C55-B55</f>
        <v>-4.10575130330489</v>
      </c>
      <c r="F55" s="40"/>
    </row>
    <row r="56" customFormat="false" ht="15" hidden="false" customHeight="true" outlineLevel="0" collapsed="false">
      <c r="A56" s="5" t="s">
        <v>736</v>
      </c>
      <c r="B56" s="26" t="n">
        <f aca="false">Supuestos!$D$61*Supuestos!$D$62*Supuestos!$D$63/Supuestos!$D$64+Supuestos!$D$65+Supuestos!$D$66</f>
        <v>1.536888</v>
      </c>
      <c r="C56" s="26" t="n">
        <f aca="false">Supuestos!$E$61*Supuestos!$E$62*Supuestos!$E$63/Supuestos!$E$64+Supuestos!$E$65+Supuestos!$E$66</f>
        <v>1.239272</v>
      </c>
      <c r="D56" s="26" t="n">
        <f aca="false">C56-B56</f>
        <v>-0.297616</v>
      </c>
      <c r="F56" s="40"/>
    </row>
    <row r="57" customFormat="false" ht="15" hidden="false" customHeight="true" outlineLevel="0" collapsed="false">
      <c r="A57" s="5" t="s">
        <v>737</v>
      </c>
      <c r="B57" s="26" t="n">
        <f aca="false">IF(Supuestos!$D$68&lt;=36,B56,Supuestos!$D$60)</f>
        <v>2.2</v>
      </c>
      <c r="C57" s="26" t="n">
        <f aca="false">IF(Supuestos!$E$68&lt;=36,C56,Supuestos!$E$60)</f>
        <v>2.2</v>
      </c>
      <c r="D57" s="26" t="n">
        <f aca="false">C57-B57</f>
        <v>0</v>
      </c>
      <c r="F57" s="3" t="s">
        <v>738</v>
      </c>
    </row>
    <row r="58" customFormat="false" ht="15" hidden="false" customHeight="true" outlineLevel="0" collapsed="false">
      <c r="A58" s="5" t="s">
        <v>739</v>
      </c>
      <c r="B58" s="26" t="n">
        <f aca="false">B54*(1+Supuestos!$D$53)+B57</f>
        <v>26.1193431908744</v>
      </c>
      <c r="C58" s="26" t="n">
        <f aca="false">C54*(1+Supuestos!$E$53)+C57</f>
        <v>20.1651851130828</v>
      </c>
      <c r="D58" s="26" t="n">
        <f aca="false">C58-B58</f>
        <v>-5.95415807779168</v>
      </c>
      <c r="F58" s="40"/>
    </row>
    <row r="59" customFormat="false" ht="15" hidden="false" customHeight="true" outlineLevel="0" collapsed="false">
      <c r="A59" s="5" t="s">
        <v>740</v>
      </c>
      <c r="B59" s="26" t="n">
        <f aca="false">B55*(1+Supuestos!$D$53)+B57*Supuestos!$D$67</f>
        <v>19.19764874643</v>
      </c>
      <c r="C59" s="26" t="n">
        <f aca="false">C55*(1+Supuestos!$E$53)+C57*Supuestos!$E$67</f>
        <v>14.7747628908605</v>
      </c>
      <c r="D59" s="26" t="n">
        <f aca="false">C59-B59</f>
        <v>-4.42288585556947</v>
      </c>
      <c r="F59" s="40"/>
    </row>
    <row r="60" customFormat="false" ht="15" hidden="false" customHeight="true" outlineLevel="0" collapsed="false">
      <c r="A60" s="5" t="s">
        <v>741</v>
      </c>
      <c r="B60" s="26" t="n">
        <f aca="false">(B54+Supuestos!$D$45)*(1+Supuestos!$D$53)+B57</f>
        <v>27.6643431908744</v>
      </c>
      <c r="C60" s="26" t="n">
        <f aca="false">(C54+Supuestos!$E$45)*(1+Supuestos!$E$53)+C57</f>
        <v>21.3831851130828</v>
      </c>
      <c r="D60" s="26" t="n">
        <f aca="false">C60-B60</f>
        <v>-6.28115807779168</v>
      </c>
      <c r="F60" s="40"/>
    </row>
    <row r="61" customFormat="false" ht="15" hidden="false" customHeight="true" outlineLevel="0" collapsed="false">
      <c r="A61" s="5" t="s">
        <v>742</v>
      </c>
      <c r="B61" s="26" t="n">
        <f aca="false">(B54+Supuestos!$D$46+Supuestos!$D$47)*(1+Supuestos!$D$53)+B57</f>
        <v>33.8443431908744</v>
      </c>
      <c r="C61" s="26" t="n">
        <f aca="false">(C54+Supuestos!$E$46+Supuestos!$E$47)*(1+Supuestos!$E$53)+C57</f>
        <v>25.2401851130828</v>
      </c>
      <c r="D61" s="26" t="n">
        <f aca="false">C61-B61</f>
        <v>-8.60415807779168</v>
      </c>
      <c r="F61" s="40"/>
    </row>
    <row r="62" customFormat="false" ht="15" hidden="false" customHeight="true" outlineLevel="0" collapsed="false">
      <c r="A62" s="5" t="s">
        <v>743</v>
      </c>
      <c r="B62" s="20" t="n">
        <f aca="false">(1-Supuestos!$D$31)*(1-Supuestos!$D$32)/(1+Supuestos!$D$10)</f>
        <v>0.482758620689655</v>
      </c>
      <c r="C62" s="20" t="n">
        <f aca="false">(1-Supuestos!$E$31)*(1-Supuestos!$E$32)/(1+Supuestos!$E$10)</f>
        <v>0.522327586206897</v>
      </c>
      <c r="D62" s="20" t="n">
        <f aca="false">C62-B62</f>
        <v>0.0395689655172414</v>
      </c>
      <c r="F62" s="40"/>
    </row>
    <row r="63" customFormat="false" ht="15" hidden="false" customHeight="true" outlineLevel="0" collapsed="false">
      <c r="A63" s="21" t="s">
        <v>94</v>
      </c>
      <c r="B63" s="37" t="n">
        <f aca="false">Supuestos!$D$19*B62-B58</f>
        <v>-4.39520525983996</v>
      </c>
      <c r="C63" s="37" t="n">
        <f aca="false">Supuestos!$E$19*C62-C58</f>
        <v>5.42886661105517</v>
      </c>
      <c r="D63" s="26" t="n">
        <f aca="false">C63-B63</f>
        <v>9.82407187089513</v>
      </c>
      <c r="F63" s="40"/>
    </row>
    <row r="64" customFormat="false" ht="15" hidden="false" customHeight="true" outlineLevel="0" collapsed="false">
      <c r="A64" s="21" t="s">
        <v>95</v>
      </c>
      <c r="B64" s="37" t="n">
        <f aca="false">Supuestos!$D$20*B62-B59</f>
        <v>-3.74937288436104</v>
      </c>
      <c r="C64" s="37" t="n">
        <f aca="false">Supuestos!$E$20*C62-C59</f>
        <v>2.98437504017395</v>
      </c>
      <c r="D64" s="26" t="n">
        <f aca="false">C64-B64</f>
        <v>6.73374792453499</v>
      </c>
      <c r="F64" s="40"/>
    </row>
    <row r="65" customFormat="false" ht="15" hidden="false" customHeight="true" outlineLevel="0" collapsed="false">
      <c r="A65" s="21" t="s">
        <v>744</v>
      </c>
      <c r="B65" s="37" t="n">
        <f aca="false">Supuestos!$D$21*B62-B60</f>
        <v>0.818415429815214</v>
      </c>
      <c r="C65" s="37" t="n">
        <f aca="false">Supuestos!$E$21*C62-C60</f>
        <v>12.5681079903655</v>
      </c>
      <c r="D65" s="26" t="n">
        <f aca="false">C65-B65</f>
        <v>11.7496925605503</v>
      </c>
      <c r="F65" s="40"/>
    </row>
    <row r="66" customFormat="false" ht="15" hidden="false" customHeight="true" outlineLevel="0" collapsed="false">
      <c r="A66" s="21" t="s">
        <v>745</v>
      </c>
      <c r="B66" s="37" t="n">
        <f aca="false">Supuestos!$D$22*B62-B61</f>
        <v>9.12117405050487</v>
      </c>
      <c r="C66" s="37" t="n">
        <f aca="false">Supuestos!$E$22*C62-C61</f>
        <v>26.4702459214</v>
      </c>
      <c r="D66" s="26" t="n">
        <f aca="false">C66-B66</f>
        <v>17.3490718708951</v>
      </c>
      <c r="F66" s="40"/>
    </row>
    <row r="67" customFormat="false" ht="15" hidden="false" customHeight="true" outlineLevel="0" collapsed="false">
      <c r="A67" s="21" t="s">
        <v>746</v>
      </c>
      <c r="B67" s="37" t="n">
        <f aca="false">Supuestos!$D$81*B63+Supuestos!$D$82*B64+Supuestos!$D$83*B65+Supuestos!$D$84*B66</f>
        <v>-2.45062082497406</v>
      </c>
      <c r="C67" s="37" t="n">
        <f aca="false">Supuestos!$E$81*C63+Supuestos!$E$82*C64+Supuestos!$E$83*C65+Supuestos!$E$84*C66</f>
        <v>7.20902998270268</v>
      </c>
      <c r="D67" s="26" t="n">
        <f aca="false">C67-B67</f>
        <v>9.65965080767675</v>
      </c>
      <c r="F67" s="40"/>
    </row>
    <row r="68" customFormat="false" ht="15" hidden="false" customHeight="true" outlineLevel="0" collapsed="false">
      <c r="A68" s="5" t="s">
        <v>97</v>
      </c>
      <c r="B68" s="20" t="n">
        <f aca="false">B63/Supuestos!$D$19</f>
        <v>-0.0976712279964436</v>
      </c>
      <c r="C68" s="20" t="n">
        <f aca="false">C63/Supuestos!$E$19</f>
        <v>0.110793196143983</v>
      </c>
      <c r="D68" s="20" t="n">
        <f aca="false">C68-B68</f>
        <v>0.208464424140427</v>
      </c>
      <c r="F68" s="40"/>
    </row>
    <row r="69" customFormat="false" ht="15" hidden="false" customHeight="true" outlineLevel="0" collapsed="false">
      <c r="A69" s="3" t="s">
        <v>747</v>
      </c>
      <c r="B69" s="47" t="n">
        <f aca="false">ROUND(Costeo!C28-IF(sel_costos=1,B58,C58),6)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8" min="2" style="1" width="11"/>
  </cols>
  <sheetData>
    <row r="1" customFormat="false" ht="18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3" customFormat="false" ht="15" hidden="false" customHeight="true" outlineLevel="0" collapsed="false">
      <c r="A3" s="28" t="s">
        <v>750</v>
      </c>
      <c r="B3" s="71"/>
      <c r="C3" s="72" t="n">
        <v>1</v>
      </c>
      <c r="D3" s="72" t="n">
        <v>2</v>
      </c>
      <c r="E3" s="72" t="n">
        <v>3</v>
      </c>
      <c r="F3" s="72" t="n">
        <v>4</v>
      </c>
      <c r="G3" s="72" t="n">
        <v>5</v>
      </c>
      <c r="H3" s="72" t="n">
        <v>6</v>
      </c>
      <c r="I3" s="72" t="n">
        <v>7</v>
      </c>
      <c r="J3" s="72" t="n">
        <v>8</v>
      </c>
      <c r="K3" s="72" t="n">
        <v>9</v>
      </c>
      <c r="L3" s="72" t="n">
        <v>10</v>
      </c>
      <c r="M3" s="72" t="n">
        <v>11</v>
      </c>
      <c r="N3" s="72" t="n">
        <v>12</v>
      </c>
      <c r="O3" s="72" t="n">
        <v>13</v>
      </c>
      <c r="P3" s="72" t="n">
        <v>14</v>
      </c>
      <c r="Q3" s="72" t="n">
        <v>15</v>
      </c>
      <c r="R3" s="72" t="n">
        <v>16</v>
      </c>
      <c r="S3" s="72" t="n">
        <v>17</v>
      </c>
      <c r="T3" s="72" t="n">
        <v>18</v>
      </c>
      <c r="U3" s="72" t="n">
        <v>19</v>
      </c>
      <c r="V3" s="72" t="n">
        <v>20</v>
      </c>
      <c r="W3" s="72" t="n">
        <v>21</v>
      </c>
      <c r="X3" s="72" t="n">
        <v>22</v>
      </c>
      <c r="Y3" s="72" t="n">
        <v>23</v>
      </c>
      <c r="Z3" s="72" t="n">
        <v>24</v>
      </c>
      <c r="AA3" s="72" t="n">
        <v>25</v>
      </c>
      <c r="AB3" s="72" t="n">
        <v>26</v>
      </c>
      <c r="AC3" s="72" t="n">
        <v>27</v>
      </c>
      <c r="AD3" s="72" t="n">
        <v>28</v>
      </c>
      <c r="AE3" s="72" t="n">
        <v>29</v>
      </c>
      <c r="AF3" s="72" t="n">
        <v>30</v>
      </c>
      <c r="AG3" s="72" t="n">
        <v>31</v>
      </c>
      <c r="AH3" s="72" t="n">
        <v>32</v>
      </c>
      <c r="AI3" s="72" t="n">
        <v>33</v>
      </c>
      <c r="AJ3" s="72" t="n">
        <v>34</v>
      </c>
      <c r="AK3" s="72" t="n">
        <v>35</v>
      </c>
      <c r="AL3" s="72" t="n">
        <v>36</v>
      </c>
    </row>
    <row r="4" customFormat="false" ht="15" hidden="false" customHeight="true" outlineLevel="0" collapsed="false">
      <c r="A4" s="28" t="s">
        <v>751</v>
      </c>
      <c r="B4" s="71"/>
      <c r="C4" s="73" t="n">
        <f aca="false">fecha_inicio</f>
        <v>46327</v>
      </c>
      <c r="D4" s="73" t="n">
        <f aca="false">DATE(YEAR(C4),MONTH(C4)+1,1)</f>
        <v>46357</v>
      </c>
      <c r="E4" s="73" t="n">
        <f aca="false">DATE(YEAR(D4),MONTH(D4)+1,1)</f>
        <v>46388</v>
      </c>
      <c r="F4" s="73" t="n">
        <f aca="false">DATE(YEAR(E4),MONTH(E4)+1,1)</f>
        <v>46419</v>
      </c>
      <c r="G4" s="73" t="n">
        <f aca="false">DATE(YEAR(F4),MONTH(F4)+1,1)</f>
        <v>46447</v>
      </c>
      <c r="H4" s="73" t="n">
        <f aca="false">DATE(YEAR(G4),MONTH(G4)+1,1)</f>
        <v>46478</v>
      </c>
      <c r="I4" s="73" t="n">
        <f aca="false">DATE(YEAR(H4),MONTH(H4)+1,1)</f>
        <v>46508</v>
      </c>
      <c r="J4" s="73" t="n">
        <f aca="false">DATE(YEAR(I4),MONTH(I4)+1,1)</f>
        <v>46539</v>
      </c>
      <c r="K4" s="73" t="n">
        <f aca="false">DATE(YEAR(J4),MONTH(J4)+1,1)</f>
        <v>46569</v>
      </c>
      <c r="L4" s="73" t="n">
        <f aca="false">DATE(YEAR(K4),MONTH(K4)+1,1)</f>
        <v>46600</v>
      </c>
      <c r="M4" s="73" t="n">
        <f aca="false">DATE(YEAR(L4),MONTH(L4)+1,1)</f>
        <v>46631</v>
      </c>
      <c r="N4" s="73" t="n">
        <f aca="false">DATE(YEAR(M4),MONTH(M4)+1,1)</f>
        <v>46661</v>
      </c>
      <c r="O4" s="73" t="n">
        <f aca="false">DATE(YEAR(N4),MONTH(N4)+1,1)</f>
        <v>46692</v>
      </c>
      <c r="P4" s="73" t="n">
        <f aca="false">DATE(YEAR(O4),MONTH(O4)+1,1)</f>
        <v>46722</v>
      </c>
      <c r="Q4" s="73" t="n">
        <f aca="false">DATE(YEAR(P4),MONTH(P4)+1,1)</f>
        <v>46753</v>
      </c>
      <c r="R4" s="73" t="n">
        <f aca="false">DATE(YEAR(Q4),MONTH(Q4)+1,1)</f>
        <v>46784</v>
      </c>
      <c r="S4" s="73" t="n">
        <f aca="false">DATE(YEAR(R4),MONTH(R4)+1,1)</f>
        <v>46813</v>
      </c>
      <c r="T4" s="73" t="n">
        <f aca="false">DATE(YEAR(S4),MONTH(S4)+1,1)</f>
        <v>46844</v>
      </c>
      <c r="U4" s="73" t="n">
        <f aca="false">DATE(YEAR(T4),MONTH(T4)+1,1)</f>
        <v>46874</v>
      </c>
      <c r="V4" s="73" t="n">
        <f aca="false">DATE(YEAR(U4),MONTH(U4)+1,1)</f>
        <v>46905</v>
      </c>
      <c r="W4" s="73" t="n">
        <f aca="false">DATE(YEAR(V4),MONTH(V4)+1,1)</f>
        <v>46935</v>
      </c>
      <c r="X4" s="73" t="n">
        <f aca="false">DATE(YEAR(W4),MONTH(W4)+1,1)</f>
        <v>46966</v>
      </c>
      <c r="Y4" s="73" t="n">
        <f aca="false">DATE(YEAR(X4),MONTH(X4)+1,1)</f>
        <v>46997</v>
      </c>
      <c r="Z4" s="73" t="n">
        <f aca="false">DATE(YEAR(Y4),MONTH(Y4)+1,1)</f>
        <v>47027</v>
      </c>
      <c r="AA4" s="73" t="n">
        <f aca="false">DATE(YEAR(Z4),MONTH(Z4)+1,1)</f>
        <v>47058</v>
      </c>
      <c r="AB4" s="73" t="n">
        <f aca="false">DATE(YEAR(AA4),MONTH(AA4)+1,1)</f>
        <v>47088</v>
      </c>
      <c r="AC4" s="73" t="n">
        <f aca="false">DATE(YEAR(AB4),MONTH(AB4)+1,1)</f>
        <v>47119</v>
      </c>
      <c r="AD4" s="73" t="n">
        <f aca="false">DATE(YEAR(AC4),MONTH(AC4)+1,1)</f>
        <v>47150</v>
      </c>
      <c r="AE4" s="73" t="n">
        <f aca="false">DATE(YEAR(AD4),MONTH(AD4)+1,1)</f>
        <v>47178</v>
      </c>
      <c r="AF4" s="73" t="n">
        <f aca="false">DATE(YEAR(AE4),MONTH(AE4)+1,1)</f>
        <v>47209</v>
      </c>
      <c r="AG4" s="73" t="n">
        <f aca="false">DATE(YEAR(AF4),MONTH(AF4)+1,1)</f>
        <v>47239</v>
      </c>
      <c r="AH4" s="73" t="n">
        <f aca="false">DATE(YEAR(AG4),MONTH(AG4)+1,1)</f>
        <v>47270</v>
      </c>
      <c r="AI4" s="73" t="n">
        <f aca="false">DATE(YEAR(AH4),MONTH(AH4)+1,1)</f>
        <v>47300</v>
      </c>
      <c r="AJ4" s="73" t="n">
        <f aca="false">DATE(YEAR(AI4),MONTH(AI4)+1,1)</f>
        <v>47331</v>
      </c>
      <c r="AK4" s="73" t="n">
        <f aca="false">DATE(YEAR(AJ4),MONTH(AJ4)+1,1)</f>
        <v>47362</v>
      </c>
      <c r="AL4" s="73" t="n">
        <f aca="false">DATE(YEAR(AK4),MONTH(AK4)+1,1)</f>
        <v>47392</v>
      </c>
    </row>
    <row r="5" customFormat="false" ht="15" hidden="false" customHeight="true" outlineLevel="0" collapsed="false">
      <c r="A5" s="5" t="s">
        <v>752</v>
      </c>
      <c r="B5" s="40"/>
      <c r="C5" s="22" t="n">
        <f aca="false">MONTH(C4)</f>
        <v>11</v>
      </c>
      <c r="D5" s="22" t="n">
        <f aca="false">MONTH(D4)</f>
        <v>12</v>
      </c>
      <c r="E5" s="22" t="n">
        <f aca="false">MONTH(E4)</f>
        <v>1</v>
      </c>
      <c r="F5" s="22" t="n">
        <f aca="false">MONTH(F4)</f>
        <v>2</v>
      </c>
      <c r="G5" s="22" t="n">
        <f aca="false">MONTH(G4)</f>
        <v>3</v>
      </c>
      <c r="H5" s="22" t="n">
        <f aca="false">MONTH(H4)</f>
        <v>4</v>
      </c>
      <c r="I5" s="22" t="n">
        <f aca="false">MONTH(I4)</f>
        <v>5</v>
      </c>
      <c r="J5" s="22" t="n">
        <f aca="false">MONTH(J4)</f>
        <v>6</v>
      </c>
      <c r="K5" s="22" t="n">
        <f aca="false">MONTH(K4)</f>
        <v>7</v>
      </c>
      <c r="L5" s="22" t="n">
        <f aca="false">MONTH(L4)</f>
        <v>8</v>
      </c>
      <c r="M5" s="22" t="n">
        <f aca="false">MONTH(M4)</f>
        <v>9</v>
      </c>
      <c r="N5" s="22" t="n">
        <f aca="false">MONTH(N4)</f>
        <v>10</v>
      </c>
      <c r="O5" s="22" t="n">
        <f aca="false">MONTH(O4)</f>
        <v>11</v>
      </c>
      <c r="P5" s="22" t="n">
        <f aca="false">MONTH(P4)</f>
        <v>12</v>
      </c>
      <c r="Q5" s="22" t="n">
        <f aca="false">MONTH(Q4)</f>
        <v>1</v>
      </c>
      <c r="R5" s="22" t="n">
        <f aca="false">MONTH(R4)</f>
        <v>2</v>
      </c>
      <c r="S5" s="22" t="n">
        <f aca="false">MONTH(S4)</f>
        <v>3</v>
      </c>
      <c r="T5" s="22" t="n">
        <f aca="false">MONTH(T4)</f>
        <v>4</v>
      </c>
      <c r="U5" s="22" t="n">
        <f aca="false">MONTH(U4)</f>
        <v>5</v>
      </c>
      <c r="V5" s="22" t="n">
        <f aca="false">MONTH(V4)</f>
        <v>6</v>
      </c>
      <c r="W5" s="22" t="n">
        <f aca="false">MONTH(W4)</f>
        <v>7</v>
      </c>
      <c r="X5" s="22" t="n">
        <f aca="false">MONTH(X4)</f>
        <v>8</v>
      </c>
      <c r="Y5" s="22" t="n">
        <f aca="false">MONTH(Y4)</f>
        <v>9</v>
      </c>
      <c r="Z5" s="22" t="n">
        <f aca="false">MONTH(Z4)</f>
        <v>10</v>
      </c>
      <c r="AA5" s="22" t="n">
        <f aca="false">MONTH(AA4)</f>
        <v>11</v>
      </c>
      <c r="AB5" s="22" t="n">
        <f aca="false">MONTH(AB4)</f>
        <v>12</v>
      </c>
      <c r="AC5" s="22" t="n">
        <f aca="false">MONTH(AC4)</f>
        <v>1</v>
      </c>
      <c r="AD5" s="22" t="n">
        <f aca="false">MONTH(AD4)</f>
        <v>2</v>
      </c>
      <c r="AE5" s="22" t="n">
        <f aca="false">MONTH(AE4)</f>
        <v>3</v>
      </c>
      <c r="AF5" s="22" t="n">
        <f aca="false">MONTH(AF4)</f>
        <v>4</v>
      </c>
      <c r="AG5" s="22" t="n">
        <f aca="false">MONTH(AG4)</f>
        <v>5</v>
      </c>
      <c r="AH5" s="22" t="n">
        <f aca="false">MONTH(AH4)</f>
        <v>6</v>
      </c>
      <c r="AI5" s="22" t="n">
        <f aca="false">MONTH(AI4)</f>
        <v>7</v>
      </c>
      <c r="AJ5" s="22" t="n">
        <f aca="false">MONTH(AJ4)</f>
        <v>8</v>
      </c>
      <c r="AK5" s="22" t="n">
        <f aca="false">MONTH(AK4)</f>
        <v>9</v>
      </c>
      <c r="AL5" s="22" t="n">
        <f aca="false">MONTH(AL4)</f>
        <v>10</v>
      </c>
    </row>
    <row r="6" customFormat="false" ht="15" hidden="false" customHeight="true" outlineLevel="0" collapsed="false">
      <c r="A6" s="5" t="s">
        <v>753</v>
      </c>
      <c r="B6" s="40"/>
      <c r="C6" s="22" t="n">
        <f aca="false">ROUNDUP(C3/12,0)</f>
        <v>1</v>
      </c>
      <c r="D6" s="22" t="n">
        <f aca="false">ROUNDUP(D3/12,0)</f>
        <v>1</v>
      </c>
      <c r="E6" s="22" t="n">
        <f aca="false">ROUNDUP(E3/12,0)</f>
        <v>1</v>
      </c>
      <c r="F6" s="22" t="n">
        <f aca="false">ROUNDUP(F3/12,0)</f>
        <v>1</v>
      </c>
      <c r="G6" s="22" t="n">
        <f aca="false">ROUNDUP(G3/12,0)</f>
        <v>1</v>
      </c>
      <c r="H6" s="22" t="n">
        <f aca="false">ROUNDUP(H3/12,0)</f>
        <v>1</v>
      </c>
      <c r="I6" s="22" t="n">
        <f aca="false">ROUNDUP(I3/12,0)</f>
        <v>1</v>
      </c>
      <c r="J6" s="22" t="n">
        <f aca="false">ROUNDUP(J3/12,0)</f>
        <v>1</v>
      </c>
      <c r="K6" s="22" t="n">
        <f aca="false">ROUNDUP(K3/12,0)</f>
        <v>1</v>
      </c>
      <c r="L6" s="22" t="n">
        <f aca="false">ROUNDUP(L3/12,0)</f>
        <v>1</v>
      </c>
      <c r="M6" s="22" t="n">
        <f aca="false">ROUNDUP(M3/12,0)</f>
        <v>1</v>
      </c>
      <c r="N6" s="22" t="n">
        <f aca="false">ROUNDUP(N3/12,0)</f>
        <v>1</v>
      </c>
      <c r="O6" s="22" t="n">
        <f aca="false">ROUNDUP(O3/12,0)</f>
        <v>2</v>
      </c>
      <c r="P6" s="22" t="n">
        <f aca="false">ROUNDUP(P3/12,0)</f>
        <v>2</v>
      </c>
      <c r="Q6" s="22" t="n">
        <f aca="false">ROUNDUP(Q3/12,0)</f>
        <v>2</v>
      </c>
      <c r="R6" s="22" t="n">
        <f aca="false">ROUNDUP(R3/12,0)</f>
        <v>2</v>
      </c>
      <c r="S6" s="22" t="n">
        <f aca="false">ROUNDUP(S3/12,0)</f>
        <v>2</v>
      </c>
      <c r="T6" s="22" t="n">
        <f aca="false">ROUNDUP(T3/12,0)</f>
        <v>2</v>
      </c>
      <c r="U6" s="22" t="n">
        <f aca="false">ROUNDUP(U3/12,0)</f>
        <v>2</v>
      </c>
      <c r="V6" s="22" t="n">
        <f aca="false">ROUNDUP(V3/12,0)</f>
        <v>2</v>
      </c>
      <c r="W6" s="22" t="n">
        <f aca="false">ROUNDUP(W3/12,0)</f>
        <v>2</v>
      </c>
      <c r="X6" s="22" t="n">
        <f aca="false">ROUNDUP(X3/12,0)</f>
        <v>2</v>
      </c>
      <c r="Y6" s="22" t="n">
        <f aca="false">ROUNDUP(Y3/12,0)</f>
        <v>2</v>
      </c>
      <c r="Z6" s="22" t="n">
        <f aca="false">ROUNDUP(Z3/12,0)</f>
        <v>2</v>
      </c>
      <c r="AA6" s="22" t="n">
        <f aca="false">ROUNDUP(AA3/12,0)</f>
        <v>3</v>
      </c>
      <c r="AB6" s="22" t="n">
        <f aca="false">ROUNDUP(AB3/12,0)</f>
        <v>3</v>
      </c>
      <c r="AC6" s="22" t="n">
        <f aca="false">ROUNDUP(AC3/12,0)</f>
        <v>3</v>
      </c>
      <c r="AD6" s="22" t="n">
        <f aca="false">ROUNDUP(AD3/12,0)</f>
        <v>3</v>
      </c>
      <c r="AE6" s="22" t="n">
        <f aca="false">ROUNDUP(AE3/12,0)</f>
        <v>3</v>
      </c>
      <c r="AF6" s="22" t="n">
        <f aca="false">ROUNDUP(AF3/12,0)</f>
        <v>3</v>
      </c>
      <c r="AG6" s="22" t="n">
        <f aca="false">ROUNDUP(AG3/12,0)</f>
        <v>3</v>
      </c>
      <c r="AH6" s="22" t="n">
        <f aca="false">ROUNDUP(AH3/12,0)</f>
        <v>3</v>
      </c>
      <c r="AI6" s="22" t="n">
        <f aca="false">ROUNDUP(AI3/12,0)</f>
        <v>3</v>
      </c>
      <c r="AJ6" s="22" t="n">
        <f aca="false">ROUNDUP(AJ3/12,0)</f>
        <v>3</v>
      </c>
      <c r="AK6" s="22" t="n">
        <f aca="false">ROUNDUP(AK3/12,0)</f>
        <v>3</v>
      </c>
      <c r="AL6" s="22" t="n">
        <f aca="false">ROUNDUP(AL3/12,0)</f>
        <v>3</v>
      </c>
    </row>
    <row r="7" customFormat="false" ht="15" hidden="false" customHeight="true" outlineLevel="0" collapsed="false">
      <c r="A7" s="5" t="s">
        <v>754</v>
      </c>
      <c r="B7" s="3" t="s">
        <v>220</v>
      </c>
      <c r="C7" s="47" t="n">
        <f aca="false">INDEX(est_idx,C5)/AVERAGE(est_idx)</f>
        <v>1.78125</v>
      </c>
      <c r="D7" s="47" t="n">
        <f aca="false">INDEX(est_idx,D5)/AVERAGE(est_idx)</f>
        <v>1.40625</v>
      </c>
      <c r="E7" s="47" t="n">
        <f aca="false">INDEX(est_idx,E5)/AVERAGE(est_idx)</f>
        <v>0.75</v>
      </c>
      <c r="F7" s="47" t="n">
        <f aca="false">INDEX(est_idx,F5)/AVERAGE(est_idx)</f>
        <v>0.796875</v>
      </c>
      <c r="G7" s="47" t="n">
        <f aca="false">INDEX(est_idx,G5)/AVERAGE(est_idx)</f>
        <v>0.890625</v>
      </c>
      <c r="H7" s="47" t="n">
        <f aca="false">INDEX(est_idx,H5)/AVERAGE(est_idx)</f>
        <v>0.9375</v>
      </c>
      <c r="I7" s="47" t="n">
        <f aca="false">INDEX(est_idx,I5)/AVERAGE(est_idx)</f>
        <v>0.890625</v>
      </c>
      <c r="J7" s="47" t="n">
        <f aca="false">INDEX(est_idx,J5)/AVERAGE(est_idx)</f>
        <v>0.75</v>
      </c>
      <c r="K7" s="47" t="n">
        <f aca="false">INDEX(est_idx,K5)/AVERAGE(est_idx)</f>
        <v>0.75</v>
      </c>
      <c r="L7" s="47" t="n">
        <f aca="false">INDEX(est_idx,L5)/AVERAGE(est_idx)</f>
        <v>0.75</v>
      </c>
      <c r="M7" s="47" t="n">
        <f aca="false">INDEX(est_idx,M5)/AVERAGE(est_idx)</f>
        <v>0.796875</v>
      </c>
      <c r="N7" s="47" t="n">
        <f aca="false">INDEX(est_idx,N5)/AVERAGE(est_idx)</f>
        <v>1.5</v>
      </c>
      <c r="O7" s="47" t="n">
        <f aca="false">INDEX(est_idx,O5)/AVERAGE(est_idx)</f>
        <v>1.78125</v>
      </c>
      <c r="P7" s="47" t="n">
        <f aca="false">INDEX(est_idx,P5)/AVERAGE(est_idx)</f>
        <v>1.40625</v>
      </c>
      <c r="Q7" s="47" t="n">
        <f aca="false">INDEX(est_idx,Q5)/AVERAGE(est_idx)</f>
        <v>0.75</v>
      </c>
      <c r="R7" s="47" t="n">
        <f aca="false">INDEX(est_idx,R5)/AVERAGE(est_idx)</f>
        <v>0.796875</v>
      </c>
      <c r="S7" s="47" t="n">
        <f aca="false">INDEX(est_idx,S5)/AVERAGE(est_idx)</f>
        <v>0.890625</v>
      </c>
      <c r="T7" s="47" t="n">
        <f aca="false">INDEX(est_idx,T5)/AVERAGE(est_idx)</f>
        <v>0.9375</v>
      </c>
      <c r="U7" s="47" t="n">
        <f aca="false">INDEX(est_idx,U5)/AVERAGE(est_idx)</f>
        <v>0.890625</v>
      </c>
      <c r="V7" s="47" t="n">
        <f aca="false">INDEX(est_idx,V5)/AVERAGE(est_idx)</f>
        <v>0.75</v>
      </c>
      <c r="W7" s="47" t="n">
        <f aca="false">INDEX(est_idx,W5)/AVERAGE(est_idx)</f>
        <v>0.75</v>
      </c>
      <c r="X7" s="47" t="n">
        <f aca="false">INDEX(est_idx,X5)/AVERAGE(est_idx)</f>
        <v>0.75</v>
      </c>
      <c r="Y7" s="47" t="n">
        <f aca="false">INDEX(est_idx,Y5)/AVERAGE(est_idx)</f>
        <v>0.796875</v>
      </c>
      <c r="Z7" s="47" t="n">
        <f aca="false">INDEX(est_idx,Z5)/AVERAGE(est_idx)</f>
        <v>1.5</v>
      </c>
      <c r="AA7" s="47" t="n">
        <f aca="false">INDEX(est_idx,AA5)/AVERAGE(est_idx)</f>
        <v>1.78125</v>
      </c>
      <c r="AB7" s="47" t="n">
        <f aca="false">INDEX(est_idx,AB5)/AVERAGE(est_idx)</f>
        <v>1.40625</v>
      </c>
      <c r="AC7" s="47" t="n">
        <f aca="false">INDEX(est_idx,AC5)/AVERAGE(est_idx)</f>
        <v>0.75</v>
      </c>
      <c r="AD7" s="47" t="n">
        <f aca="false">INDEX(est_idx,AD5)/AVERAGE(est_idx)</f>
        <v>0.796875</v>
      </c>
      <c r="AE7" s="47" t="n">
        <f aca="false">INDEX(est_idx,AE5)/AVERAGE(est_idx)</f>
        <v>0.890625</v>
      </c>
      <c r="AF7" s="47" t="n">
        <f aca="false">INDEX(est_idx,AF5)/AVERAGE(est_idx)</f>
        <v>0.9375</v>
      </c>
      <c r="AG7" s="47" t="n">
        <f aca="false">INDEX(est_idx,AG5)/AVERAGE(est_idx)</f>
        <v>0.890625</v>
      </c>
      <c r="AH7" s="47" t="n">
        <f aca="false">INDEX(est_idx,AH5)/AVERAGE(est_idx)</f>
        <v>0.75</v>
      </c>
      <c r="AI7" s="47" t="n">
        <f aca="false">INDEX(est_idx,AI5)/AVERAGE(est_idx)</f>
        <v>0.75</v>
      </c>
      <c r="AJ7" s="47" t="n">
        <f aca="false">INDEX(est_idx,AJ5)/AVERAGE(est_idx)</f>
        <v>0.75</v>
      </c>
      <c r="AK7" s="47" t="n">
        <f aca="false">INDEX(est_idx,AK5)/AVERAGE(est_idx)</f>
        <v>0.796875</v>
      </c>
      <c r="AL7" s="47" t="n">
        <f aca="false">INDEX(est_idx,AL5)/AVERAGE(est_idx)</f>
        <v>1.5</v>
      </c>
    </row>
    <row r="8" customFormat="false" ht="15" hidden="false" customHeight="true" outlineLevel="0" collapsed="false">
      <c r="A8" s="5" t="s">
        <v>755</v>
      </c>
      <c r="B8" s="3" t="s">
        <v>756</v>
      </c>
      <c r="C8" s="22" t="n">
        <f aca="false">INDEX(est_flag,C5)</f>
        <v>1</v>
      </c>
      <c r="D8" s="22" t="n">
        <f aca="false">INDEX(est_flag,D5)</f>
        <v>1</v>
      </c>
      <c r="E8" s="22" t="n">
        <f aca="false">INDEX(est_flag,E5)</f>
        <v>0</v>
      </c>
      <c r="F8" s="22" t="n">
        <f aca="false">INDEX(est_flag,F5)</f>
        <v>0</v>
      </c>
      <c r="G8" s="22" t="n">
        <f aca="false">INDEX(est_flag,G5)</f>
        <v>0</v>
      </c>
      <c r="H8" s="22" t="n">
        <f aca="false">INDEX(est_flag,H5)</f>
        <v>0</v>
      </c>
      <c r="I8" s="22" t="n">
        <f aca="false">INDEX(est_flag,I5)</f>
        <v>0</v>
      </c>
      <c r="J8" s="22" t="n">
        <f aca="false">INDEX(est_flag,J5)</f>
        <v>0</v>
      </c>
      <c r="K8" s="22" t="n">
        <f aca="false">INDEX(est_flag,K5)</f>
        <v>0</v>
      </c>
      <c r="L8" s="22" t="n">
        <f aca="false">INDEX(est_flag,L5)</f>
        <v>0</v>
      </c>
      <c r="M8" s="22" t="n">
        <f aca="false">INDEX(est_flag,M5)</f>
        <v>0</v>
      </c>
      <c r="N8" s="22" t="n">
        <f aca="false">INDEX(est_flag,N5)</f>
        <v>1</v>
      </c>
      <c r="O8" s="22" t="n">
        <f aca="false">INDEX(est_flag,O5)</f>
        <v>1</v>
      </c>
      <c r="P8" s="22" t="n">
        <f aca="false">INDEX(est_flag,P5)</f>
        <v>1</v>
      </c>
      <c r="Q8" s="22" t="n">
        <f aca="false">INDEX(est_flag,Q5)</f>
        <v>0</v>
      </c>
      <c r="R8" s="22" t="n">
        <f aca="false">INDEX(est_flag,R5)</f>
        <v>0</v>
      </c>
      <c r="S8" s="22" t="n">
        <f aca="false">INDEX(est_flag,S5)</f>
        <v>0</v>
      </c>
      <c r="T8" s="22" t="n">
        <f aca="false">INDEX(est_flag,T5)</f>
        <v>0</v>
      </c>
      <c r="U8" s="22" t="n">
        <f aca="false">INDEX(est_flag,U5)</f>
        <v>0</v>
      </c>
      <c r="V8" s="22" t="n">
        <f aca="false">INDEX(est_flag,V5)</f>
        <v>0</v>
      </c>
      <c r="W8" s="22" t="n">
        <f aca="false">INDEX(est_flag,W5)</f>
        <v>0</v>
      </c>
      <c r="X8" s="22" t="n">
        <f aca="false">INDEX(est_flag,X5)</f>
        <v>0</v>
      </c>
      <c r="Y8" s="22" t="n">
        <f aca="false">INDEX(est_flag,Y5)</f>
        <v>0</v>
      </c>
      <c r="Z8" s="22" t="n">
        <f aca="false">INDEX(est_flag,Z5)</f>
        <v>1</v>
      </c>
      <c r="AA8" s="22" t="n">
        <f aca="false">INDEX(est_flag,AA5)</f>
        <v>1</v>
      </c>
      <c r="AB8" s="22" t="n">
        <f aca="false">INDEX(est_flag,AB5)</f>
        <v>1</v>
      </c>
      <c r="AC8" s="22" t="n">
        <f aca="false">INDEX(est_flag,AC5)</f>
        <v>0</v>
      </c>
      <c r="AD8" s="22" t="n">
        <f aca="false">INDEX(est_flag,AD5)</f>
        <v>0</v>
      </c>
      <c r="AE8" s="22" t="n">
        <f aca="false">INDEX(est_flag,AE5)</f>
        <v>0</v>
      </c>
      <c r="AF8" s="22" t="n">
        <f aca="false">INDEX(est_flag,AF5)</f>
        <v>0</v>
      </c>
      <c r="AG8" s="22" t="n">
        <f aca="false">INDEX(est_flag,AG5)</f>
        <v>0</v>
      </c>
      <c r="AH8" s="22" t="n">
        <f aca="false">INDEX(est_flag,AH5)</f>
        <v>0</v>
      </c>
      <c r="AI8" s="22" t="n">
        <f aca="false">INDEX(est_flag,AI5)</f>
        <v>0</v>
      </c>
      <c r="AJ8" s="22" t="n">
        <f aca="false">INDEX(est_flag,AJ5)</f>
        <v>0</v>
      </c>
      <c r="AK8" s="22" t="n">
        <f aca="false">INDEX(est_flag,AK5)</f>
        <v>0</v>
      </c>
      <c r="AL8" s="22" t="n">
        <f aca="false">INDEX(est_flag,AL5)</f>
        <v>1</v>
      </c>
    </row>
    <row r="10" customFormat="false" ht="15" hidden="false" customHeight="true" outlineLevel="0" collapsed="false">
      <c r="A10" s="28" t="s">
        <v>757</v>
      </c>
      <c r="B10" s="29"/>
    </row>
    <row r="11" customFormat="false" ht="15" hidden="false" customHeight="true" outlineLevel="0" collapsed="false">
      <c r="A11" s="21" t="s">
        <v>758</v>
      </c>
      <c r="B11" s="3" t="s">
        <v>306</v>
      </c>
      <c r="C11" s="24" t="n">
        <f aca="false">ROUND(MIN(tiendas_universo,IF(C$3&lt;=meses_piloto,tiendas_piloto,tiendas_piloto+(tiendas_meta-tiendas_piloto)*MIN(1,(C$3-meses_piloto)/meses_rampa))),0)</f>
        <v>50</v>
      </c>
      <c r="D11" s="24" t="n">
        <f aca="false">ROUND(MIN(tiendas_universo,IF(D$3&lt;=meses_piloto,tiendas_piloto,tiendas_piloto+(tiendas_meta-tiendas_piloto)*MIN(1,(D$3-meses_piloto)/meses_rampa))),0)</f>
        <v>50</v>
      </c>
      <c r="E11" s="24" t="n">
        <f aca="false">ROUND(MIN(tiendas_universo,IF(E$3&lt;=meses_piloto,tiendas_piloto,tiendas_piloto+(tiendas_meta-tiendas_piloto)*MIN(1,(E$3-meses_piloto)/meses_rampa))),0)</f>
        <v>125</v>
      </c>
      <c r="F11" s="24" t="n">
        <f aca="false">ROUND(MIN(tiendas_universo,IF(F$3&lt;=meses_piloto,tiendas_piloto,tiendas_piloto+(tiendas_meta-tiendas_piloto)*MIN(1,(F$3-meses_piloto)/meses_rampa))),0)</f>
        <v>200</v>
      </c>
      <c r="G11" s="24" t="n">
        <f aca="false">ROUND(MIN(tiendas_universo,IF(G$3&lt;=meses_piloto,tiendas_piloto,tiendas_piloto+(tiendas_meta-tiendas_piloto)*MIN(1,(G$3-meses_piloto)/meses_rampa))),0)</f>
        <v>275</v>
      </c>
      <c r="H11" s="24" t="n">
        <f aca="false">ROUND(MIN(tiendas_universo,IF(H$3&lt;=meses_piloto,tiendas_piloto,tiendas_piloto+(tiendas_meta-tiendas_piloto)*MIN(1,(H$3-meses_piloto)/meses_rampa))),0)</f>
        <v>350</v>
      </c>
      <c r="I11" s="24" t="n">
        <f aca="false">ROUND(MIN(tiendas_universo,IF(I$3&lt;=meses_piloto,tiendas_piloto,tiendas_piloto+(tiendas_meta-tiendas_piloto)*MIN(1,(I$3-meses_piloto)/meses_rampa))),0)</f>
        <v>425</v>
      </c>
      <c r="J11" s="24" t="n">
        <f aca="false">ROUND(MIN(tiendas_universo,IF(J$3&lt;=meses_piloto,tiendas_piloto,tiendas_piloto+(tiendas_meta-tiendas_piloto)*MIN(1,(J$3-meses_piloto)/meses_rampa))),0)</f>
        <v>500</v>
      </c>
      <c r="K11" s="24" t="n">
        <f aca="false">ROUND(MIN(tiendas_universo,IF(K$3&lt;=meses_piloto,tiendas_piloto,tiendas_piloto+(tiendas_meta-tiendas_piloto)*MIN(1,(K$3-meses_piloto)/meses_rampa))),0)</f>
        <v>500</v>
      </c>
      <c r="L11" s="24" t="n">
        <f aca="false">ROUND(MIN(tiendas_universo,IF(L$3&lt;=meses_piloto,tiendas_piloto,tiendas_piloto+(tiendas_meta-tiendas_piloto)*MIN(1,(L$3-meses_piloto)/meses_rampa))),0)</f>
        <v>500</v>
      </c>
      <c r="M11" s="24" t="n">
        <f aca="false">ROUND(MIN(tiendas_universo,IF(M$3&lt;=meses_piloto,tiendas_piloto,tiendas_piloto+(tiendas_meta-tiendas_piloto)*MIN(1,(M$3-meses_piloto)/meses_rampa))),0)</f>
        <v>500</v>
      </c>
      <c r="N11" s="24" t="n">
        <f aca="false">ROUND(MIN(tiendas_universo,IF(N$3&lt;=meses_piloto,tiendas_piloto,tiendas_piloto+(tiendas_meta-tiendas_piloto)*MIN(1,(N$3-meses_piloto)/meses_rampa))),0)</f>
        <v>500</v>
      </c>
      <c r="O11" s="24" t="n">
        <f aca="false">ROUND(MIN(tiendas_universo,IF(O$3&lt;=meses_piloto,tiendas_piloto,tiendas_piloto+(tiendas_meta-tiendas_piloto)*MIN(1,(O$3-meses_piloto)/meses_rampa))),0)</f>
        <v>500</v>
      </c>
      <c r="P11" s="24" t="n">
        <f aca="false">ROUND(MIN(tiendas_universo,IF(P$3&lt;=meses_piloto,tiendas_piloto,tiendas_piloto+(tiendas_meta-tiendas_piloto)*MIN(1,(P$3-meses_piloto)/meses_rampa))),0)</f>
        <v>500</v>
      </c>
      <c r="Q11" s="24" t="n">
        <f aca="false">ROUND(MIN(tiendas_universo,IF(Q$3&lt;=meses_piloto,tiendas_piloto,tiendas_piloto+(tiendas_meta-tiendas_piloto)*MIN(1,(Q$3-meses_piloto)/meses_rampa))),0)</f>
        <v>500</v>
      </c>
      <c r="R11" s="24" t="n">
        <f aca="false">ROUND(MIN(tiendas_universo,IF(R$3&lt;=meses_piloto,tiendas_piloto,tiendas_piloto+(tiendas_meta-tiendas_piloto)*MIN(1,(R$3-meses_piloto)/meses_rampa))),0)</f>
        <v>500</v>
      </c>
      <c r="S11" s="24" t="n">
        <f aca="false">ROUND(MIN(tiendas_universo,IF(S$3&lt;=meses_piloto,tiendas_piloto,tiendas_piloto+(tiendas_meta-tiendas_piloto)*MIN(1,(S$3-meses_piloto)/meses_rampa))),0)</f>
        <v>500</v>
      </c>
      <c r="T11" s="24" t="n">
        <f aca="false">ROUND(MIN(tiendas_universo,IF(T$3&lt;=meses_piloto,tiendas_piloto,tiendas_piloto+(tiendas_meta-tiendas_piloto)*MIN(1,(T$3-meses_piloto)/meses_rampa))),0)</f>
        <v>500</v>
      </c>
      <c r="U11" s="24" t="n">
        <f aca="false">ROUND(MIN(tiendas_universo,IF(U$3&lt;=meses_piloto,tiendas_piloto,tiendas_piloto+(tiendas_meta-tiendas_piloto)*MIN(1,(U$3-meses_piloto)/meses_rampa))),0)</f>
        <v>500</v>
      </c>
      <c r="V11" s="24" t="n">
        <f aca="false">ROUND(MIN(tiendas_universo,IF(V$3&lt;=meses_piloto,tiendas_piloto,tiendas_piloto+(tiendas_meta-tiendas_piloto)*MIN(1,(V$3-meses_piloto)/meses_rampa))),0)</f>
        <v>500</v>
      </c>
      <c r="W11" s="24" t="n">
        <f aca="false">ROUND(MIN(tiendas_universo,IF(W$3&lt;=meses_piloto,tiendas_piloto,tiendas_piloto+(tiendas_meta-tiendas_piloto)*MIN(1,(W$3-meses_piloto)/meses_rampa))),0)</f>
        <v>500</v>
      </c>
      <c r="X11" s="24" t="n">
        <f aca="false">ROUND(MIN(tiendas_universo,IF(X$3&lt;=meses_piloto,tiendas_piloto,tiendas_piloto+(tiendas_meta-tiendas_piloto)*MIN(1,(X$3-meses_piloto)/meses_rampa))),0)</f>
        <v>500</v>
      </c>
      <c r="Y11" s="24" t="n">
        <f aca="false">ROUND(MIN(tiendas_universo,IF(Y$3&lt;=meses_piloto,tiendas_piloto,tiendas_piloto+(tiendas_meta-tiendas_piloto)*MIN(1,(Y$3-meses_piloto)/meses_rampa))),0)</f>
        <v>500</v>
      </c>
      <c r="Z11" s="24" t="n">
        <f aca="false">ROUND(MIN(tiendas_universo,IF(Z$3&lt;=meses_piloto,tiendas_piloto,tiendas_piloto+(tiendas_meta-tiendas_piloto)*MIN(1,(Z$3-meses_piloto)/meses_rampa))),0)</f>
        <v>500</v>
      </c>
      <c r="AA11" s="24" t="n">
        <f aca="false">ROUND(MIN(tiendas_universo,IF(AA$3&lt;=meses_piloto,tiendas_piloto,tiendas_piloto+(tiendas_meta-tiendas_piloto)*MIN(1,(AA$3-meses_piloto)/meses_rampa))),0)</f>
        <v>500</v>
      </c>
      <c r="AB11" s="24" t="n">
        <f aca="false">ROUND(MIN(tiendas_universo,IF(AB$3&lt;=meses_piloto,tiendas_piloto,tiendas_piloto+(tiendas_meta-tiendas_piloto)*MIN(1,(AB$3-meses_piloto)/meses_rampa))),0)</f>
        <v>500</v>
      </c>
      <c r="AC11" s="24" t="n">
        <f aca="false">ROUND(MIN(tiendas_universo,IF(AC$3&lt;=meses_piloto,tiendas_piloto,tiendas_piloto+(tiendas_meta-tiendas_piloto)*MIN(1,(AC$3-meses_piloto)/meses_rampa))),0)</f>
        <v>500</v>
      </c>
      <c r="AD11" s="24" t="n">
        <f aca="false">ROUND(MIN(tiendas_universo,IF(AD$3&lt;=meses_piloto,tiendas_piloto,tiendas_piloto+(tiendas_meta-tiendas_piloto)*MIN(1,(AD$3-meses_piloto)/meses_rampa))),0)</f>
        <v>500</v>
      </c>
      <c r="AE11" s="24" t="n">
        <f aca="false">ROUND(MIN(tiendas_universo,IF(AE$3&lt;=meses_piloto,tiendas_piloto,tiendas_piloto+(tiendas_meta-tiendas_piloto)*MIN(1,(AE$3-meses_piloto)/meses_rampa))),0)</f>
        <v>500</v>
      </c>
      <c r="AF11" s="24" t="n">
        <f aca="false">ROUND(MIN(tiendas_universo,IF(AF$3&lt;=meses_piloto,tiendas_piloto,tiendas_piloto+(tiendas_meta-tiendas_piloto)*MIN(1,(AF$3-meses_piloto)/meses_rampa))),0)</f>
        <v>500</v>
      </c>
      <c r="AG11" s="24" t="n">
        <f aca="false">ROUND(MIN(tiendas_universo,IF(AG$3&lt;=meses_piloto,tiendas_piloto,tiendas_piloto+(tiendas_meta-tiendas_piloto)*MIN(1,(AG$3-meses_piloto)/meses_rampa))),0)</f>
        <v>500</v>
      </c>
      <c r="AH11" s="24" t="n">
        <f aca="false">ROUND(MIN(tiendas_universo,IF(AH$3&lt;=meses_piloto,tiendas_piloto,tiendas_piloto+(tiendas_meta-tiendas_piloto)*MIN(1,(AH$3-meses_piloto)/meses_rampa))),0)</f>
        <v>500</v>
      </c>
      <c r="AI11" s="24" t="n">
        <f aca="false">ROUND(MIN(tiendas_universo,IF(AI$3&lt;=meses_piloto,tiendas_piloto,tiendas_piloto+(tiendas_meta-tiendas_piloto)*MIN(1,(AI$3-meses_piloto)/meses_rampa))),0)</f>
        <v>500</v>
      </c>
      <c r="AJ11" s="24" t="n">
        <f aca="false">ROUND(MIN(tiendas_universo,IF(AJ$3&lt;=meses_piloto,tiendas_piloto,tiendas_piloto+(tiendas_meta-tiendas_piloto)*MIN(1,(AJ$3-meses_piloto)/meses_rampa))),0)</f>
        <v>500</v>
      </c>
      <c r="AK11" s="24" t="n">
        <f aca="false">ROUND(MIN(tiendas_universo,IF(AK$3&lt;=meses_piloto,tiendas_piloto,tiendas_piloto+(tiendas_meta-tiendas_piloto)*MIN(1,(AK$3-meses_piloto)/meses_rampa))),0)</f>
        <v>500</v>
      </c>
      <c r="AL11" s="24" t="n">
        <f aca="false">ROUND(MIN(tiendas_universo,IF(AL$3&lt;=meses_piloto,tiendas_piloto,tiendas_piloto+(tiendas_meta-tiendas_piloto)*MIN(1,(AL$3-meses_piloto)/meses_rampa))),0)</f>
        <v>500</v>
      </c>
    </row>
    <row r="12" customFormat="false" ht="15" hidden="false" customHeight="true" outlineLevel="0" collapsed="false">
      <c r="A12" s="5" t="s">
        <v>759</v>
      </c>
      <c r="B12" s="3" t="s">
        <v>306</v>
      </c>
      <c r="C12" s="22" t="n">
        <f aca="false">C11</f>
        <v>50</v>
      </c>
      <c r="D12" s="22" t="n">
        <f aca="false">MAX(0,D11-C11)</f>
        <v>0</v>
      </c>
      <c r="E12" s="22" t="n">
        <f aca="false">MAX(0,E11-D11)</f>
        <v>75</v>
      </c>
      <c r="F12" s="22" t="n">
        <f aca="false">MAX(0,F11-E11)</f>
        <v>75</v>
      </c>
      <c r="G12" s="22" t="n">
        <f aca="false">MAX(0,G11-F11)</f>
        <v>75</v>
      </c>
      <c r="H12" s="22" t="n">
        <f aca="false">MAX(0,H11-G11)</f>
        <v>75</v>
      </c>
      <c r="I12" s="22" t="n">
        <f aca="false">MAX(0,I11-H11)</f>
        <v>75</v>
      </c>
      <c r="J12" s="22" t="n">
        <f aca="false">MAX(0,J11-I11)</f>
        <v>75</v>
      </c>
      <c r="K12" s="22" t="n">
        <f aca="false">MAX(0,K11-J11)</f>
        <v>0</v>
      </c>
      <c r="L12" s="22" t="n">
        <f aca="false">MAX(0,L11-K11)</f>
        <v>0</v>
      </c>
      <c r="M12" s="22" t="n">
        <f aca="false">MAX(0,M11-L11)</f>
        <v>0</v>
      </c>
      <c r="N12" s="22" t="n">
        <f aca="false">MAX(0,N11-M11)</f>
        <v>0</v>
      </c>
      <c r="O12" s="22" t="n">
        <f aca="false">MAX(0,O11-N11)</f>
        <v>0</v>
      </c>
      <c r="P12" s="22" t="n">
        <f aca="false">MAX(0,P11-O11)</f>
        <v>0</v>
      </c>
      <c r="Q12" s="22" t="n">
        <f aca="false">MAX(0,Q11-P11)</f>
        <v>0</v>
      </c>
      <c r="R12" s="22" t="n">
        <f aca="false">MAX(0,R11-Q11)</f>
        <v>0</v>
      </c>
      <c r="S12" s="22" t="n">
        <f aca="false">MAX(0,S11-R11)</f>
        <v>0</v>
      </c>
      <c r="T12" s="22" t="n">
        <f aca="false">MAX(0,T11-S11)</f>
        <v>0</v>
      </c>
      <c r="U12" s="22" t="n">
        <f aca="false">MAX(0,U11-T11)</f>
        <v>0</v>
      </c>
      <c r="V12" s="22" t="n">
        <f aca="false">MAX(0,V11-U11)</f>
        <v>0</v>
      </c>
      <c r="W12" s="22" t="n">
        <f aca="false">MAX(0,W11-V11)</f>
        <v>0</v>
      </c>
      <c r="X12" s="22" t="n">
        <f aca="false">MAX(0,X11-W11)</f>
        <v>0</v>
      </c>
      <c r="Y12" s="22" t="n">
        <f aca="false">MAX(0,Y11-X11)</f>
        <v>0</v>
      </c>
      <c r="Z12" s="22" t="n">
        <f aca="false">MAX(0,Z11-Y11)</f>
        <v>0</v>
      </c>
      <c r="AA12" s="22" t="n">
        <f aca="false">MAX(0,AA11-Z11)</f>
        <v>0</v>
      </c>
      <c r="AB12" s="22" t="n">
        <f aca="false">MAX(0,AB11-AA11)</f>
        <v>0</v>
      </c>
      <c r="AC12" s="22" t="n">
        <f aca="false">MAX(0,AC11-AB11)</f>
        <v>0</v>
      </c>
      <c r="AD12" s="22" t="n">
        <f aca="false">MAX(0,AD11-AC11)</f>
        <v>0</v>
      </c>
      <c r="AE12" s="22" t="n">
        <f aca="false">MAX(0,AE11-AD11)</f>
        <v>0</v>
      </c>
      <c r="AF12" s="22" t="n">
        <f aca="false">MAX(0,AF11-AE11)</f>
        <v>0</v>
      </c>
      <c r="AG12" s="22" t="n">
        <f aca="false">MAX(0,AG11-AF11)</f>
        <v>0</v>
      </c>
      <c r="AH12" s="22" t="n">
        <f aca="false">MAX(0,AH11-AG11)</f>
        <v>0</v>
      </c>
      <c r="AI12" s="22" t="n">
        <f aca="false">MAX(0,AI11-AH11)</f>
        <v>0</v>
      </c>
      <c r="AJ12" s="22" t="n">
        <f aca="false">MAX(0,AJ11-AI11)</f>
        <v>0</v>
      </c>
      <c r="AK12" s="22" t="n">
        <f aca="false">MAX(0,AK11-AJ11)</f>
        <v>0</v>
      </c>
      <c r="AL12" s="22" t="n">
        <f aca="false">MAX(0,AL11-AK11)</f>
        <v>0</v>
      </c>
    </row>
    <row r="13" customFormat="false" ht="15" hidden="false" customHeight="true" outlineLevel="0" collapsed="false">
      <c r="A13" s="5" t="s">
        <v>760</v>
      </c>
      <c r="B13" s="3" t="s">
        <v>265</v>
      </c>
      <c r="C13" s="74" t="n">
        <f aca="false">uds_sem*(1+crec_anual)^(C$6-1)</f>
        <v>8</v>
      </c>
      <c r="D13" s="74" t="n">
        <f aca="false">uds_sem*(1+crec_anual)^(D$6-1)</f>
        <v>8</v>
      </c>
      <c r="E13" s="74" t="n">
        <f aca="false">uds_sem*(1+crec_anual)^(E$6-1)</f>
        <v>8</v>
      </c>
      <c r="F13" s="74" t="n">
        <f aca="false">uds_sem*(1+crec_anual)^(F$6-1)</f>
        <v>8</v>
      </c>
      <c r="G13" s="74" t="n">
        <f aca="false">uds_sem*(1+crec_anual)^(G$6-1)</f>
        <v>8</v>
      </c>
      <c r="H13" s="74" t="n">
        <f aca="false">uds_sem*(1+crec_anual)^(H$6-1)</f>
        <v>8</v>
      </c>
      <c r="I13" s="74" t="n">
        <f aca="false">uds_sem*(1+crec_anual)^(I$6-1)</f>
        <v>8</v>
      </c>
      <c r="J13" s="74" t="n">
        <f aca="false">uds_sem*(1+crec_anual)^(J$6-1)</f>
        <v>8</v>
      </c>
      <c r="K13" s="74" t="n">
        <f aca="false">uds_sem*(1+crec_anual)^(K$6-1)</f>
        <v>8</v>
      </c>
      <c r="L13" s="74" t="n">
        <f aca="false">uds_sem*(1+crec_anual)^(L$6-1)</f>
        <v>8</v>
      </c>
      <c r="M13" s="74" t="n">
        <f aca="false">uds_sem*(1+crec_anual)^(M$6-1)</f>
        <v>8</v>
      </c>
      <c r="N13" s="74" t="n">
        <f aca="false">uds_sem*(1+crec_anual)^(N$6-1)</f>
        <v>8</v>
      </c>
      <c r="O13" s="74" t="n">
        <f aca="false">uds_sem*(1+crec_anual)^(O$6-1)</f>
        <v>8.8</v>
      </c>
      <c r="P13" s="74" t="n">
        <f aca="false">uds_sem*(1+crec_anual)^(P$6-1)</f>
        <v>8.8</v>
      </c>
      <c r="Q13" s="74" t="n">
        <f aca="false">uds_sem*(1+crec_anual)^(Q$6-1)</f>
        <v>8.8</v>
      </c>
      <c r="R13" s="74" t="n">
        <f aca="false">uds_sem*(1+crec_anual)^(R$6-1)</f>
        <v>8.8</v>
      </c>
      <c r="S13" s="74" t="n">
        <f aca="false">uds_sem*(1+crec_anual)^(S$6-1)</f>
        <v>8.8</v>
      </c>
      <c r="T13" s="74" t="n">
        <f aca="false">uds_sem*(1+crec_anual)^(T$6-1)</f>
        <v>8.8</v>
      </c>
      <c r="U13" s="74" t="n">
        <f aca="false">uds_sem*(1+crec_anual)^(U$6-1)</f>
        <v>8.8</v>
      </c>
      <c r="V13" s="74" t="n">
        <f aca="false">uds_sem*(1+crec_anual)^(V$6-1)</f>
        <v>8.8</v>
      </c>
      <c r="W13" s="74" t="n">
        <f aca="false">uds_sem*(1+crec_anual)^(W$6-1)</f>
        <v>8.8</v>
      </c>
      <c r="X13" s="74" t="n">
        <f aca="false">uds_sem*(1+crec_anual)^(X$6-1)</f>
        <v>8.8</v>
      </c>
      <c r="Y13" s="74" t="n">
        <f aca="false">uds_sem*(1+crec_anual)^(Y$6-1)</f>
        <v>8.8</v>
      </c>
      <c r="Z13" s="74" t="n">
        <f aca="false">uds_sem*(1+crec_anual)^(Z$6-1)</f>
        <v>8.8</v>
      </c>
      <c r="AA13" s="74" t="n">
        <f aca="false">uds_sem*(1+crec_anual)^(AA$6-1)</f>
        <v>9.68</v>
      </c>
      <c r="AB13" s="74" t="n">
        <f aca="false">uds_sem*(1+crec_anual)^(AB$6-1)</f>
        <v>9.68</v>
      </c>
      <c r="AC13" s="74" t="n">
        <f aca="false">uds_sem*(1+crec_anual)^(AC$6-1)</f>
        <v>9.68</v>
      </c>
      <c r="AD13" s="74" t="n">
        <f aca="false">uds_sem*(1+crec_anual)^(AD$6-1)</f>
        <v>9.68</v>
      </c>
      <c r="AE13" s="74" t="n">
        <f aca="false">uds_sem*(1+crec_anual)^(AE$6-1)</f>
        <v>9.68</v>
      </c>
      <c r="AF13" s="74" t="n">
        <f aca="false">uds_sem*(1+crec_anual)^(AF$6-1)</f>
        <v>9.68</v>
      </c>
      <c r="AG13" s="74" t="n">
        <f aca="false">uds_sem*(1+crec_anual)^(AG$6-1)</f>
        <v>9.68</v>
      </c>
      <c r="AH13" s="74" t="n">
        <f aca="false">uds_sem*(1+crec_anual)^(AH$6-1)</f>
        <v>9.68</v>
      </c>
      <c r="AI13" s="74" t="n">
        <f aca="false">uds_sem*(1+crec_anual)^(AI$6-1)</f>
        <v>9.68</v>
      </c>
      <c r="AJ13" s="74" t="n">
        <f aca="false">uds_sem*(1+crec_anual)^(AJ$6-1)</f>
        <v>9.68</v>
      </c>
      <c r="AK13" s="74" t="n">
        <f aca="false">uds_sem*(1+crec_anual)^(AK$6-1)</f>
        <v>9.68</v>
      </c>
      <c r="AL13" s="74" t="n">
        <f aca="false">uds_sem*(1+crec_anual)^(AL$6-1)</f>
        <v>9.68</v>
      </c>
    </row>
    <row r="14" customFormat="false" ht="15" hidden="false" customHeight="true" outlineLevel="0" collapsed="false">
      <c r="A14" s="5" t="s">
        <v>761</v>
      </c>
      <c r="B14" s="3" t="s">
        <v>265</v>
      </c>
      <c r="C14" s="22" t="n">
        <f aca="false">C11*C13*semanas_mes*C$7</f>
        <v>3085.125</v>
      </c>
      <c r="D14" s="22" t="n">
        <f aca="false">D11*D13*semanas_mes*D$7</f>
        <v>2435.625</v>
      </c>
      <c r="E14" s="22" t="n">
        <f aca="false">E11*E13*semanas_mes*E$7</f>
        <v>3247.5</v>
      </c>
      <c r="F14" s="22" t="n">
        <f aca="false">F11*F13*semanas_mes*F$7</f>
        <v>5520.75</v>
      </c>
      <c r="G14" s="22" t="n">
        <f aca="false">G11*G13*semanas_mes*G$7</f>
        <v>8484.09375</v>
      </c>
      <c r="H14" s="22" t="n">
        <f aca="false">H11*H13*semanas_mes*H$7</f>
        <v>11366.25</v>
      </c>
      <c r="I14" s="22" t="n">
        <f aca="false">I11*I13*semanas_mes*I$7</f>
        <v>13111.78125</v>
      </c>
      <c r="J14" s="22" t="n">
        <f aca="false">J11*J13*semanas_mes*J$7</f>
        <v>12990</v>
      </c>
      <c r="K14" s="22" t="n">
        <f aca="false">K11*K13*semanas_mes*K$7</f>
        <v>12990</v>
      </c>
      <c r="L14" s="22" t="n">
        <f aca="false">L11*L13*semanas_mes*L$7</f>
        <v>12990</v>
      </c>
      <c r="M14" s="22" t="n">
        <f aca="false">M11*M13*semanas_mes*M$7</f>
        <v>13801.875</v>
      </c>
      <c r="N14" s="22" t="n">
        <f aca="false">N11*N13*semanas_mes*N$7</f>
        <v>25980</v>
      </c>
      <c r="O14" s="22" t="n">
        <f aca="false">O11*O13*semanas_mes*O$7</f>
        <v>33936.375</v>
      </c>
      <c r="P14" s="22" t="n">
        <f aca="false">P11*P13*semanas_mes*P$7</f>
        <v>26791.875</v>
      </c>
      <c r="Q14" s="22" t="n">
        <f aca="false">Q11*Q13*semanas_mes*Q$7</f>
        <v>14289</v>
      </c>
      <c r="R14" s="22" t="n">
        <f aca="false">R11*R13*semanas_mes*R$7</f>
        <v>15182.0625</v>
      </c>
      <c r="S14" s="22" t="n">
        <f aca="false">S11*S13*semanas_mes*S$7</f>
        <v>16968.1875</v>
      </c>
      <c r="T14" s="22" t="n">
        <f aca="false">T11*T13*semanas_mes*T$7</f>
        <v>17861.25</v>
      </c>
      <c r="U14" s="22" t="n">
        <f aca="false">U11*U13*semanas_mes*U$7</f>
        <v>16968.1875</v>
      </c>
      <c r="V14" s="22" t="n">
        <f aca="false">V11*V13*semanas_mes*V$7</f>
        <v>14289</v>
      </c>
      <c r="W14" s="22" t="n">
        <f aca="false">W11*W13*semanas_mes*W$7</f>
        <v>14289</v>
      </c>
      <c r="X14" s="22" t="n">
        <f aca="false">X11*X13*semanas_mes*X$7</f>
        <v>14289</v>
      </c>
      <c r="Y14" s="22" t="n">
        <f aca="false">Y11*Y13*semanas_mes*Y$7</f>
        <v>15182.0625</v>
      </c>
      <c r="Z14" s="22" t="n">
        <f aca="false">Z11*Z13*semanas_mes*Z$7</f>
        <v>28578</v>
      </c>
      <c r="AA14" s="22" t="n">
        <f aca="false">AA11*AA13*semanas_mes*AA$7</f>
        <v>37330.0125</v>
      </c>
      <c r="AB14" s="22" t="n">
        <f aca="false">AB11*AB13*semanas_mes*AB$7</f>
        <v>29471.0625</v>
      </c>
      <c r="AC14" s="22" t="n">
        <f aca="false">AC11*AC13*semanas_mes*AC$7</f>
        <v>15717.9</v>
      </c>
      <c r="AD14" s="22" t="n">
        <f aca="false">AD11*AD13*semanas_mes*AD$7</f>
        <v>16700.26875</v>
      </c>
      <c r="AE14" s="22" t="n">
        <f aca="false">AE11*AE13*semanas_mes*AE$7</f>
        <v>18665.00625</v>
      </c>
      <c r="AF14" s="22" t="n">
        <f aca="false">AF11*AF13*semanas_mes*AF$7</f>
        <v>19647.375</v>
      </c>
      <c r="AG14" s="22" t="n">
        <f aca="false">AG11*AG13*semanas_mes*AG$7</f>
        <v>18665.00625</v>
      </c>
      <c r="AH14" s="22" t="n">
        <f aca="false">AH11*AH13*semanas_mes*AH$7</f>
        <v>15717.9</v>
      </c>
      <c r="AI14" s="22" t="n">
        <f aca="false">AI11*AI13*semanas_mes*AI$7</f>
        <v>15717.9</v>
      </c>
      <c r="AJ14" s="22" t="n">
        <f aca="false">AJ11*AJ13*semanas_mes*AJ$7</f>
        <v>15717.9</v>
      </c>
      <c r="AK14" s="22" t="n">
        <f aca="false">AK11*AK13*semanas_mes*AK$7</f>
        <v>16700.26875</v>
      </c>
      <c r="AL14" s="22" t="n">
        <f aca="false">AL11*AL13*semanas_mes*AL$7</f>
        <v>31435.8</v>
      </c>
    </row>
    <row r="15" customFormat="false" ht="15" hidden="false" customHeight="true" outlineLevel="0" collapsed="false">
      <c r="A15" s="5" t="s">
        <v>762</v>
      </c>
      <c r="B15" s="3" t="s">
        <v>265</v>
      </c>
      <c r="C15" s="22" t="n">
        <f aca="false">C12*carga_inicial</f>
        <v>1200</v>
      </c>
      <c r="D15" s="22" t="n">
        <f aca="false">D12*carga_inicial</f>
        <v>0</v>
      </c>
      <c r="E15" s="22" t="n">
        <f aca="false">E12*carga_inicial</f>
        <v>1800</v>
      </c>
      <c r="F15" s="22" t="n">
        <f aca="false">F12*carga_inicial</f>
        <v>1800</v>
      </c>
      <c r="G15" s="22" t="n">
        <f aca="false">G12*carga_inicial</f>
        <v>1800</v>
      </c>
      <c r="H15" s="22" t="n">
        <f aca="false">H12*carga_inicial</f>
        <v>1800</v>
      </c>
      <c r="I15" s="22" t="n">
        <f aca="false">I12*carga_inicial</f>
        <v>1800</v>
      </c>
      <c r="J15" s="22" t="n">
        <f aca="false">J12*carga_inicial</f>
        <v>1800</v>
      </c>
      <c r="K15" s="22" t="n">
        <f aca="false">K12*carga_inicial</f>
        <v>0</v>
      </c>
      <c r="L15" s="22" t="n">
        <f aca="false">L12*carga_inicial</f>
        <v>0</v>
      </c>
      <c r="M15" s="22" t="n">
        <f aca="false">M12*carga_inicial</f>
        <v>0</v>
      </c>
      <c r="N15" s="22" t="n">
        <f aca="false">N12*carga_inicial</f>
        <v>0</v>
      </c>
      <c r="O15" s="22" t="n">
        <f aca="false">O12*carga_inicial</f>
        <v>0</v>
      </c>
      <c r="P15" s="22" t="n">
        <f aca="false">P12*carga_inicial</f>
        <v>0</v>
      </c>
      <c r="Q15" s="22" t="n">
        <f aca="false">Q12*carga_inicial</f>
        <v>0</v>
      </c>
      <c r="R15" s="22" t="n">
        <f aca="false">R12*carga_inicial</f>
        <v>0</v>
      </c>
      <c r="S15" s="22" t="n">
        <f aca="false">S12*carga_inicial</f>
        <v>0</v>
      </c>
      <c r="T15" s="22" t="n">
        <f aca="false">T12*carga_inicial</f>
        <v>0</v>
      </c>
      <c r="U15" s="22" t="n">
        <f aca="false">U12*carga_inicial</f>
        <v>0</v>
      </c>
      <c r="V15" s="22" t="n">
        <f aca="false">V12*carga_inicial</f>
        <v>0</v>
      </c>
      <c r="W15" s="22" t="n">
        <f aca="false">W12*carga_inicial</f>
        <v>0</v>
      </c>
      <c r="X15" s="22" t="n">
        <f aca="false">X12*carga_inicial</f>
        <v>0</v>
      </c>
      <c r="Y15" s="22" t="n">
        <f aca="false">Y12*carga_inicial</f>
        <v>0</v>
      </c>
      <c r="Z15" s="22" t="n">
        <f aca="false">Z12*carga_inicial</f>
        <v>0</v>
      </c>
      <c r="AA15" s="22" t="n">
        <f aca="false">AA12*carga_inicial</f>
        <v>0</v>
      </c>
      <c r="AB15" s="22" t="n">
        <f aca="false">AB12*carga_inicial</f>
        <v>0</v>
      </c>
      <c r="AC15" s="22" t="n">
        <f aca="false">AC12*carga_inicial</f>
        <v>0</v>
      </c>
      <c r="AD15" s="22" t="n">
        <f aca="false">AD12*carga_inicial</f>
        <v>0</v>
      </c>
      <c r="AE15" s="22" t="n">
        <f aca="false">AE12*carga_inicial</f>
        <v>0</v>
      </c>
      <c r="AF15" s="22" t="n">
        <f aca="false">AF12*carga_inicial</f>
        <v>0</v>
      </c>
      <c r="AG15" s="22" t="n">
        <f aca="false">AG12*carga_inicial</f>
        <v>0</v>
      </c>
      <c r="AH15" s="22" t="n">
        <f aca="false">AH12*carga_inicial</f>
        <v>0</v>
      </c>
      <c r="AI15" s="22" t="n">
        <f aca="false">AI12*carga_inicial</f>
        <v>0</v>
      </c>
      <c r="AJ15" s="22" t="n">
        <f aca="false">AJ12*carga_inicial</f>
        <v>0</v>
      </c>
      <c r="AK15" s="22" t="n">
        <f aca="false">AK12*carga_inicial</f>
        <v>0</v>
      </c>
      <c r="AL15" s="22" t="n">
        <f aca="false">AL12*carga_inicial</f>
        <v>0</v>
      </c>
    </row>
    <row r="16" customFormat="false" ht="15" hidden="false" customHeight="true" outlineLevel="0" collapsed="false">
      <c r="A16" s="21" t="s">
        <v>763</v>
      </c>
      <c r="B16" s="3" t="s">
        <v>265</v>
      </c>
      <c r="C16" s="24" t="n">
        <f aca="false">C14+C15</f>
        <v>4285.125</v>
      </c>
      <c r="D16" s="24" t="n">
        <f aca="false">D14+D15</f>
        <v>2435.625</v>
      </c>
      <c r="E16" s="24" t="n">
        <f aca="false">E14+E15</f>
        <v>5047.5</v>
      </c>
      <c r="F16" s="24" t="n">
        <f aca="false">F14+F15</f>
        <v>7320.75</v>
      </c>
      <c r="G16" s="24" t="n">
        <f aca="false">G14+G15</f>
        <v>10284.09375</v>
      </c>
      <c r="H16" s="24" t="n">
        <f aca="false">H14+H15</f>
        <v>13166.25</v>
      </c>
      <c r="I16" s="24" t="n">
        <f aca="false">I14+I15</f>
        <v>14911.78125</v>
      </c>
      <c r="J16" s="24" t="n">
        <f aca="false">J14+J15</f>
        <v>14790</v>
      </c>
      <c r="K16" s="24" t="n">
        <f aca="false">K14+K15</f>
        <v>12990</v>
      </c>
      <c r="L16" s="24" t="n">
        <f aca="false">L14+L15</f>
        <v>12990</v>
      </c>
      <c r="M16" s="24" t="n">
        <f aca="false">M14+M15</f>
        <v>13801.875</v>
      </c>
      <c r="N16" s="24" t="n">
        <f aca="false">N14+N15</f>
        <v>25980</v>
      </c>
      <c r="O16" s="24" t="n">
        <f aca="false">O14+O15</f>
        <v>33936.375</v>
      </c>
      <c r="P16" s="24" t="n">
        <f aca="false">P14+P15</f>
        <v>26791.875</v>
      </c>
      <c r="Q16" s="24" t="n">
        <f aca="false">Q14+Q15</f>
        <v>14289</v>
      </c>
      <c r="R16" s="24" t="n">
        <f aca="false">R14+R15</f>
        <v>15182.0625</v>
      </c>
      <c r="S16" s="24" t="n">
        <f aca="false">S14+S15</f>
        <v>16968.1875</v>
      </c>
      <c r="T16" s="24" t="n">
        <f aca="false">T14+T15</f>
        <v>17861.25</v>
      </c>
      <c r="U16" s="24" t="n">
        <f aca="false">U14+U15</f>
        <v>16968.1875</v>
      </c>
      <c r="V16" s="24" t="n">
        <f aca="false">V14+V15</f>
        <v>14289</v>
      </c>
      <c r="W16" s="24" t="n">
        <f aca="false">W14+W15</f>
        <v>14289</v>
      </c>
      <c r="X16" s="24" t="n">
        <f aca="false">X14+X15</f>
        <v>14289</v>
      </c>
      <c r="Y16" s="24" t="n">
        <f aca="false">Y14+Y15</f>
        <v>15182.0625</v>
      </c>
      <c r="Z16" s="24" t="n">
        <f aca="false">Z14+Z15</f>
        <v>28578</v>
      </c>
      <c r="AA16" s="24" t="n">
        <f aca="false">AA14+AA15</f>
        <v>37330.0125</v>
      </c>
      <c r="AB16" s="24" t="n">
        <f aca="false">AB14+AB15</f>
        <v>29471.0625</v>
      </c>
      <c r="AC16" s="24" t="n">
        <f aca="false">AC14+AC15</f>
        <v>15717.9</v>
      </c>
      <c r="AD16" s="24" t="n">
        <f aca="false">AD14+AD15</f>
        <v>16700.26875</v>
      </c>
      <c r="AE16" s="24" t="n">
        <f aca="false">AE14+AE15</f>
        <v>18665.00625</v>
      </c>
      <c r="AF16" s="24" t="n">
        <f aca="false">AF14+AF15</f>
        <v>19647.375</v>
      </c>
      <c r="AG16" s="24" t="n">
        <f aca="false">AG14+AG15</f>
        <v>18665.00625</v>
      </c>
      <c r="AH16" s="24" t="n">
        <f aca="false">AH14+AH15</f>
        <v>15717.9</v>
      </c>
      <c r="AI16" s="24" t="n">
        <f aca="false">AI14+AI15</f>
        <v>15717.9</v>
      </c>
      <c r="AJ16" s="24" t="n">
        <f aca="false">AJ14+AJ15</f>
        <v>15717.9</v>
      </c>
      <c r="AK16" s="24" t="n">
        <f aca="false">AK14+AK15</f>
        <v>16700.26875</v>
      </c>
      <c r="AL16" s="24" t="n">
        <f aca="false">AL14+AL15</f>
        <v>31435.8</v>
      </c>
    </row>
    <row r="17" customFormat="false" ht="15" hidden="false" customHeight="true" outlineLevel="0" collapsed="false">
      <c r="A17" s="5" t="s">
        <v>764</v>
      </c>
      <c r="B17" s="3" t="s">
        <v>127</v>
      </c>
      <c r="C17" s="20" t="n">
        <f aca="false">IF(C$8=1,mix_alta_sem,mix_sem)</f>
        <v>0.3</v>
      </c>
      <c r="D17" s="20" t="n">
        <f aca="false">IF(D$8=1,mix_alta_sem,mix_sem)</f>
        <v>0.3</v>
      </c>
      <c r="E17" s="20" t="n">
        <f aca="false">IF(E$8=1,mix_alta_sem,mix_sem)</f>
        <v>0.35</v>
      </c>
      <c r="F17" s="20" t="n">
        <f aca="false">IF(F$8=1,mix_alta_sem,mix_sem)</f>
        <v>0.35</v>
      </c>
      <c r="G17" s="20" t="n">
        <f aca="false">IF(G$8=1,mix_alta_sem,mix_sem)</f>
        <v>0.35</v>
      </c>
      <c r="H17" s="20" t="n">
        <f aca="false">IF(H$8=1,mix_alta_sem,mix_sem)</f>
        <v>0.35</v>
      </c>
      <c r="I17" s="20" t="n">
        <f aca="false">IF(I$8=1,mix_alta_sem,mix_sem)</f>
        <v>0.35</v>
      </c>
      <c r="J17" s="20" t="n">
        <f aca="false">IF(J$8=1,mix_alta_sem,mix_sem)</f>
        <v>0.35</v>
      </c>
      <c r="K17" s="20" t="n">
        <f aca="false">IF(K$8=1,mix_alta_sem,mix_sem)</f>
        <v>0.35</v>
      </c>
      <c r="L17" s="20" t="n">
        <f aca="false">IF(L$8=1,mix_alta_sem,mix_sem)</f>
        <v>0.35</v>
      </c>
      <c r="M17" s="20" t="n">
        <f aca="false">IF(M$8=1,mix_alta_sem,mix_sem)</f>
        <v>0.35</v>
      </c>
      <c r="N17" s="20" t="n">
        <f aca="false">IF(N$8=1,mix_alta_sem,mix_sem)</f>
        <v>0.3</v>
      </c>
      <c r="O17" s="20" t="n">
        <f aca="false">IF(O$8=1,mix_alta_sem,mix_sem)</f>
        <v>0.3</v>
      </c>
      <c r="P17" s="20" t="n">
        <f aca="false">IF(P$8=1,mix_alta_sem,mix_sem)</f>
        <v>0.3</v>
      </c>
      <c r="Q17" s="20" t="n">
        <f aca="false">IF(Q$8=1,mix_alta_sem,mix_sem)</f>
        <v>0.35</v>
      </c>
      <c r="R17" s="20" t="n">
        <f aca="false">IF(R$8=1,mix_alta_sem,mix_sem)</f>
        <v>0.35</v>
      </c>
      <c r="S17" s="20" t="n">
        <f aca="false">IF(S$8=1,mix_alta_sem,mix_sem)</f>
        <v>0.35</v>
      </c>
      <c r="T17" s="20" t="n">
        <f aca="false">IF(T$8=1,mix_alta_sem,mix_sem)</f>
        <v>0.35</v>
      </c>
      <c r="U17" s="20" t="n">
        <f aca="false">IF(U$8=1,mix_alta_sem,mix_sem)</f>
        <v>0.35</v>
      </c>
      <c r="V17" s="20" t="n">
        <f aca="false">IF(V$8=1,mix_alta_sem,mix_sem)</f>
        <v>0.35</v>
      </c>
      <c r="W17" s="20" t="n">
        <f aca="false">IF(W$8=1,mix_alta_sem,mix_sem)</f>
        <v>0.35</v>
      </c>
      <c r="X17" s="20" t="n">
        <f aca="false">IF(X$8=1,mix_alta_sem,mix_sem)</f>
        <v>0.35</v>
      </c>
      <c r="Y17" s="20" t="n">
        <f aca="false">IF(Y$8=1,mix_alta_sem,mix_sem)</f>
        <v>0.35</v>
      </c>
      <c r="Z17" s="20" t="n">
        <f aca="false">IF(Z$8=1,mix_alta_sem,mix_sem)</f>
        <v>0.3</v>
      </c>
      <c r="AA17" s="20" t="n">
        <f aca="false">IF(AA$8=1,mix_alta_sem,mix_sem)</f>
        <v>0.3</v>
      </c>
      <c r="AB17" s="20" t="n">
        <f aca="false">IF(AB$8=1,mix_alta_sem,mix_sem)</f>
        <v>0.3</v>
      </c>
      <c r="AC17" s="20" t="n">
        <f aca="false">IF(AC$8=1,mix_alta_sem,mix_sem)</f>
        <v>0.35</v>
      </c>
      <c r="AD17" s="20" t="n">
        <f aca="false">IF(AD$8=1,mix_alta_sem,mix_sem)</f>
        <v>0.35</v>
      </c>
      <c r="AE17" s="20" t="n">
        <f aca="false">IF(AE$8=1,mix_alta_sem,mix_sem)</f>
        <v>0.35</v>
      </c>
      <c r="AF17" s="20" t="n">
        <f aca="false">IF(AF$8=1,mix_alta_sem,mix_sem)</f>
        <v>0.35</v>
      </c>
      <c r="AG17" s="20" t="n">
        <f aca="false">IF(AG$8=1,mix_alta_sem,mix_sem)</f>
        <v>0.35</v>
      </c>
      <c r="AH17" s="20" t="n">
        <f aca="false">IF(AH$8=1,mix_alta_sem,mix_sem)</f>
        <v>0.35</v>
      </c>
      <c r="AI17" s="20" t="n">
        <f aca="false">IF(AI$8=1,mix_alta_sem,mix_sem)</f>
        <v>0.35</v>
      </c>
      <c r="AJ17" s="20" t="n">
        <f aca="false">IF(AJ$8=1,mix_alta_sem,mix_sem)</f>
        <v>0.35</v>
      </c>
      <c r="AK17" s="20" t="n">
        <f aca="false">IF(AK$8=1,mix_alta_sem,mix_sem)</f>
        <v>0.35</v>
      </c>
      <c r="AL17" s="20" t="n">
        <f aca="false">IF(AL$8=1,mix_alta_sem,mix_sem)</f>
        <v>0.3</v>
      </c>
    </row>
    <row r="18" customFormat="false" ht="15" hidden="false" customHeight="true" outlineLevel="0" collapsed="false">
      <c r="A18" s="5" t="s">
        <v>765</v>
      </c>
      <c r="B18" s="3" t="s">
        <v>127</v>
      </c>
      <c r="C18" s="20" t="n">
        <f aca="false">IF(C$8=1,mix_alta_rep,mix_rep)</f>
        <v>0.3</v>
      </c>
      <c r="D18" s="20" t="n">
        <f aca="false">IF(D$8=1,mix_alta_rep,mix_rep)</f>
        <v>0.3</v>
      </c>
      <c r="E18" s="20" t="n">
        <f aca="false">IF(E$8=1,mix_alta_rep,mix_rep)</f>
        <v>0.4</v>
      </c>
      <c r="F18" s="20" t="n">
        <f aca="false">IF(F$8=1,mix_alta_rep,mix_rep)</f>
        <v>0.4</v>
      </c>
      <c r="G18" s="20" t="n">
        <f aca="false">IF(G$8=1,mix_alta_rep,mix_rep)</f>
        <v>0.4</v>
      </c>
      <c r="H18" s="20" t="n">
        <f aca="false">IF(H$8=1,mix_alta_rep,mix_rep)</f>
        <v>0.4</v>
      </c>
      <c r="I18" s="20" t="n">
        <f aca="false">IF(I$8=1,mix_alta_rep,mix_rep)</f>
        <v>0.4</v>
      </c>
      <c r="J18" s="20" t="n">
        <f aca="false">IF(J$8=1,mix_alta_rep,mix_rep)</f>
        <v>0.4</v>
      </c>
      <c r="K18" s="20" t="n">
        <f aca="false">IF(K$8=1,mix_alta_rep,mix_rep)</f>
        <v>0.4</v>
      </c>
      <c r="L18" s="20" t="n">
        <f aca="false">IF(L$8=1,mix_alta_rep,mix_rep)</f>
        <v>0.4</v>
      </c>
      <c r="M18" s="20" t="n">
        <f aca="false">IF(M$8=1,mix_alta_rep,mix_rep)</f>
        <v>0.4</v>
      </c>
      <c r="N18" s="20" t="n">
        <f aca="false">IF(N$8=1,mix_alta_rep,mix_rep)</f>
        <v>0.3</v>
      </c>
      <c r="O18" s="20" t="n">
        <f aca="false">IF(O$8=1,mix_alta_rep,mix_rep)</f>
        <v>0.3</v>
      </c>
      <c r="P18" s="20" t="n">
        <f aca="false">IF(P$8=1,mix_alta_rep,mix_rep)</f>
        <v>0.3</v>
      </c>
      <c r="Q18" s="20" t="n">
        <f aca="false">IF(Q$8=1,mix_alta_rep,mix_rep)</f>
        <v>0.4</v>
      </c>
      <c r="R18" s="20" t="n">
        <f aca="false">IF(R$8=1,mix_alta_rep,mix_rep)</f>
        <v>0.4</v>
      </c>
      <c r="S18" s="20" t="n">
        <f aca="false">IF(S$8=1,mix_alta_rep,mix_rep)</f>
        <v>0.4</v>
      </c>
      <c r="T18" s="20" t="n">
        <f aca="false">IF(T$8=1,mix_alta_rep,mix_rep)</f>
        <v>0.4</v>
      </c>
      <c r="U18" s="20" t="n">
        <f aca="false">IF(U$8=1,mix_alta_rep,mix_rep)</f>
        <v>0.4</v>
      </c>
      <c r="V18" s="20" t="n">
        <f aca="false">IF(V$8=1,mix_alta_rep,mix_rep)</f>
        <v>0.4</v>
      </c>
      <c r="W18" s="20" t="n">
        <f aca="false">IF(W$8=1,mix_alta_rep,mix_rep)</f>
        <v>0.4</v>
      </c>
      <c r="X18" s="20" t="n">
        <f aca="false">IF(X$8=1,mix_alta_rep,mix_rep)</f>
        <v>0.4</v>
      </c>
      <c r="Y18" s="20" t="n">
        <f aca="false">IF(Y$8=1,mix_alta_rep,mix_rep)</f>
        <v>0.4</v>
      </c>
      <c r="Z18" s="20" t="n">
        <f aca="false">IF(Z$8=1,mix_alta_rep,mix_rep)</f>
        <v>0.3</v>
      </c>
      <c r="AA18" s="20" t="n">
        <f aca="false">IF(AA$8=1,mix_alta_rep,mix_rep)</f>
        <v>0.3</v>
      </c>
      <c r="AB18" s="20" t="n">
        <f aca="false">IF(AB$8=1,mix_alta_rep,mix_rep)</f>
        <v>0.3</v>
      </c>
      <c r="AC18" s="20" t="n">
        <f aca="false">IF(AC$8=1,mix_alta_rep,mix_rep)</f>
        <v>0.4</v>
      </c>
      <c r="AD18" s="20" t="n">
        <f aca="false">IF(AD$8=1,mix_alta_rep,mix_rep)</f>
        <v>0.4</v>
      </c>
      <c r="AE18" s="20" t="n">
        <f aca="false">IF(AE$8=1,mix_alta_rep,mix_rep)</f>
        <v>0.4</v>
      </c>
      <c r="AF18" s="20" t="n">
        <f aca="false">IF(AF$8=1,mix_alta_rep,mix_rep)</f>
        <v>0.4</v>
      </c>
      <c r="AG18" s="20" t="n">
        <f aca="false">IF(AG$8=1,mix_alta_rep,mix_rep)</f>
        <v>0.4</v>
      </c>
      <c r="AH18" s="20" t="n">
        <f aca="false">IF(AH$8=1,mix_alta_rep,mix_rep)</f>
        <v>0.4</v>
      </c>
      <c r="AI18" s="20" t="n">
        <f aca="false">IF(AI$8=1,mix_alta_rep,mix_rep)</f>
        <v>0.4</v>
      </c>
      <c r="AJ18" s="20" t="n">
        <f aca="false">IF(AJ$8=1,mix_alta_rep,mix_rep)</f>
        <v>0.4</v>
      </c>
      <c r="AK18" s="20" t="n">
        <f aca="false">IF(AK$8=1,mix_alta_rep,mix_rep)</f>
        <v>0.4</v>
      </c>
      <c r="AL18" s="20" t="n">
        <f aca="false">IF(AL$8=1,mix_alta_rep,mix_rep)</f>
        <v>0.3</v>
      </c>
    </row>
    <row r="19" customFormat="false" ht="15" hidden="false" customHeight="true" outlineLevel="0" collapsed="false">
      <c r="A19" s="5" t="s">
        <v>766</v>
      </c>
      <c r="B19" s="3" t="s">
        <v>127</v>
      </c>
      <c r="C19" s="20" t="n">
        <f aca="false">IF(C$8=1,mix_alta_tem,mix_tem)</f>
        <v>0.32</v>
      </c>
      <c r="D19" s="20" t="n">
        <f aca="false">IF(D$8=1,mix_alta_tem,mix_tem)</f>
        <v>0.32</v>
      </c>
      <c r="E19" s="20" t="n">
        <f aca="false">IF(E$8=1,mix_alta_tem,mix_tem)</f>
        <v>0.18</v>
      </c>
      <c r="F19" s="20" t="n">
        <f aca="false">IF(F$8=1,mix_alta_tem,mix_tem)</f>
        <v>0.18</v>
      </c>
      <c r="G19" s="20" t="n">
        <f aca="false">IF(G$8=1,mix_alta_tem,mix_tem)</f>
        <v>0.18</v>
      </c>
      <c r="H19" s="20" t="n">
        <f aca="false">IF(H$8=1,mix_alta_tem,mix_tem)</f>
        <v>0.18</v>
      </c>
      <c r="I19" s="20" t="n">
        <f aca="false">IF(I$8=1,mix_alta_tem,mix_tem)</f>
        <v>0.18</v>
      </c>
      <c r="J19" s="20" t="n">
        <f aca="false">IF(J$8=1,mix_alta_tem,mix_tem)</f>
        <v>0.18</v>
      </c>
      <c r="K19" s="20" t="n">
        <f aca="false">IF(K$8=1,mix_alta_tem,mix_tem)</f>
        <v>0.18</v>
      </c>
      <c r="L19" s="20" t="n">
        <f aca="false">IF(L$8=1,mix_alta_tem,mix_tem)</f>
        <v>0.18</v>
      </c>
      <c r="M19" s="20" t="n">
        <f aca="false">IF(M$8=1,mix_alta_tem,mix_tem)</f>
        <v>0.18</v>
      </c>
      <c r="N19" s="20" t="n">
        <f aca="false">IF(N$8=1,mix_alta_tem,mix_tem)</f>
        <v>0.32</v>
      </c>
      <c r="O19" s="20" t="n">
        <f aca="false">IF(O$8=1,mix_alta_tem,mix_tem)</f>
        <v>0.32</v>
      </c>
      <c r="P19" s="20" t="n">
        <f aca="false">IF(P$8=1,mix_alta_tem,mix_tem)</f>
        <v>0.32</v>
      </c>
      <c r="Q19" s="20" t="n">
        <f aca="false">IF(Q$8=1,mix_alta_tem,mix_tem)</f>
        <v>0.18</v>
      </c>
      <c r="R19" s="20" t="n">
        <f aca="false">IF(R$8=1,mix_alta_tem,mix_tem)</f>
        <v>0.18</v>
      </c>
      <c r="S19" s="20" t="n">
        <f aca="false">IF(S$8=1,mix_alta_tem,mix_tem)</f>
        <v>0.18</v>
      </c>
      <c r="T19" s="20" t="n">
        <f aca="false">IF(T$8=1,mix_alta_tem,mix_tem)</f>
        <v>0.18</v>
      </c>
      <c r="U19" s="20" t="n">
        <f aca="false">IF(U$8=1,mix_alta_tem,mix_tem)</f>
        <v>0.18</v>
      </c>
      <c r="V19" s="20" t="n">
        <f aca="false">IF(V$8=1,mix_alta_tem,mix_tem)</f>
        <v>0.18</v>
      </c>
      <c r="W19" s="20" t="n">
        <f aca="false">IF(W$8=1,mix_alta_tem,mix_tem)</f>
        <v>0.18</v>
      </c>
      <c r="X19" s="20" t="n">
        <f aca="false">IF(X$8=1,mix_alta_tem,mix_tem)</f>
        <v>0.18</v>
      </c>
      <c r="Y19" s="20" t="n">
        <f aca="false">IF(Y$8=1,mix_alta_tem,mix_tem)</f>
        <v>0.18</v>
      </c>
      <c r="Z19" s="20" t="n">
        <f aca="false">IF(Z$8=1,mix_alta_tem,mix_tem)</f>
        <v>0.32</v>
      </c>
      <c r="AA19" s="20" t="n">
        <f aca="false">IF(AA$8=1,mix_alta_tem,mix_tem)</f>
        <v>0.32</v>
      </c>
      <c r="AB19" s="20" t="n">
        <f aca="false">IF(AB$8=1,mix_alta_tem,mix_tem)</f>
        <v>0.32</v>
      </c>
      <c r="AC19" s="20" t="n">
        <f aca="false">IF(AC$8=1,mix_alta_tem,mix_tem)</f>
        <v>0.18</v>
      </c>
      <c r="AD19" s="20" t="n">
        <f aca="false">IF(AD$8=1,mix_alta_tem,mix_tem)</f>
        <v>0.18</v>
      </c>
      <c r="AE19" s="20" t="n">
        <f aca="false">IF(AE$8=1,mix_alta_tem,mix_tem)</f>
        <v>0.18</v>
      </c>
      <c r="AF19" s="20" t="n">
        <f aca="false">IF(AF$8=1,mix_alta_tem,mix_tem)</f>
        <v>0.18</v>
      </c>
      <c r="AG19" s="20" t="n">
        <f aca="false">IF(AG$8=1,mix_alta_tem,mix_tem)</f>
        <v>0.18</v>
      </c>
      <c r="AH19" s="20" t="n">
        <f aca="false">IF(AH$8=1,mix_alta_tem,mix_tem)</f>
        <v>0.18</v>
      </c>
      <c r="AI19" s="20" t="n">
        <f aca="false">IF(AI$8=1,mix_alta_tem,mix_tem)</f>
        <v>0.18</v>
      </c>
      <c r="AJ19" s="20" t="n">
        <f aca="false">IF(AJ$8=1,mix_alta_tem,mix_tem)</f>
        <v>0.18</v>
      </c>
      <c r="AK19" s="20" t="n">
        <f aca="false">IF(AK$8=1,mix_alta_tem,mix_tem)</f>
        <v>0.18</v>
      </c>
      <c r="AL19" s="20" t="n">
        <f aca="false">IF(AL$8=1,mix_alta_tem,mix_tem)</f>
        <v>0.32</v>
      </c>
    </row>
    <row r="20" customFormat="false" ht="15" hidden="false" customHeight="true" outlineLevel="0" collapsed="false">
      <c r="A20" s="5" t="s">
        <v>767</v>
      </c>
      <c r="B20" s="3" t="s">
        <v>127</v>
      </c>
      <c r="C20" s="20" t="n">
        <f aca="false">IF(C$8=1,mix_alta_per,mix_per)</f>
        <v>0.08</v>
      </c>
      <c r="D20" s="20" t="n">
        <f aca="false">IF(D$8=1,mix_alta_per,mix_per)</f>
        <v>0.08</v>
      </c>
      <c r="E20" s="20" t="n">
        <f aca="false">IF(E$8=1,mix_alta_per,mix_per)</f>
        <v>0.07</v>
      </c>
      <c r="F20" s="20" t="n">
        <f aca="false">IF(F$8=1,mix_alta_per,mix_per)</f>
        <v>0.07</v>
      </c>
      <c r="G20" s="20" t="n">
        <f aca="false">IF(G$8=1,mix_alta_per,mix_per)</f>
        <v>0.07</v>
      </c>
      <c r="H20" s="20" t="n">
        <f aca="false">IF(H$8=1,mix_alta_per,mix_per)</f>
        <v>0.07</v>
      </c>
      <c r="I20" s="20" t="n">
        <f aca="false">IF(I$8=1,mix_alta_per,mix_per)</f>
        <v>0.07</v>
      </c>
      <c r="J20" s="20" t="n">
        <f aca="false">IF(J$8=1,mix_alta_per,mix_per)</f>
        <v>0.07</v>
      </c>
      <c r="K20" s="20" t="n">
        <f aca="false">IF(K$8=1,mix_alta_per,mix_per)</f>
        <v>0.07</v>
      </c>
      <c r="L20" s="20" t="n">
        <f aca="false">IF(L$8=1,mix_alta_per,mix_per)</f>
        <v>0.07</v>
      </c>
      <c r="M20" s="20" t="n">
        <f aca="false">IF(M$8=1,mix_alta_per,mix_per)</f>
        <v>0.07</v>
      </c>
      <c r="N20" s="20" t="n">
        <f aca="false">IF(N$8=1,mix_alta_per,mix_per)</f>
        <v>0.08</v>
      </c>
      <c r="O20" s="20" t="n">
        <f aca="false">IF(O$8=1,mix_alta_per,mix_per)</f>
        <v>0.08</v>
      </c>
      <c r="P20" s="20" t="n">
        <f aca="false">IF(P$8=1,mix_alta_per,mix_per)</f>
        <v>0.08</v>
      </c>
      <c r="Q20" s="20" t="n">
        <f aca="false">IF(Q$8=1,mix_alta_per,mix_per)</f>
        <v>0.07</v>
      </c>
      <c r="R20" s="20" t="n">
        <f aca="false">IF(R$8=1,mix_alta_per,mix_per)</f>
        <v>0.07</v>
      </c>
      <c r="S20" s="20" t="n">
        <f aca="false">IF(S$8=1,mix_alta_per,mix_per)</f>
        <v>0.07</v>
      </c>
      <c r="T20" s="20" t="n">
        <f aca="false">IF(T$8=1,mix_alta_per,mix_per)</f>
        <v>0.07</v>
      </c>
      <c r="U20" s="20" t="n">
        <f aca="false">IF(U$8=1,mix_alta_per,mix_per)</f>
        <v>0.07</v>
      </c>
      <c r="V20" s="20" t="n">
        <f aca="false">IF(V$8=1,mix_alta_per,mix_per)</f>
        <v>0.07</v>
      </c>
      <c r="W20" s="20" t="n">
        <f aca="false">IF(W$8=1,mix_alta_per,mix_per)</f>
        <v>0.07</v>
      </c>
      <c r="X20" s="20" t="n">
        <f aca="false">IF(X$8=1,mix_alta_per,mix_per)</f>
        <v>0.07</v>
      </c>
      <c r="Y20" s="20" t="n">
        <f aca="false">IF(Y$8=1,mix_alta_per,mix_per)</f>
        <v>0.07</v>
      </c>
      <c r="Z20" s="20" t="n">
        <f aca="false">IF(Z$8=1,mix_alta_per,mix_per)</f>
        <v>0.08</v>
      </c>
      <c r="AA20" s="20" t="n">
        <f aca="false">IF(AA$8=1,mix_alta_per,mix_per)</f>
        <v>0.08</v>
      </c>
      <c r="AB20" s="20" t="n">
        <f aca="false">IF(AB$8=1,mix_alta_per,mix_per)</f>
        <v>0.08</v>
      </c>
      <c r="AC20" s="20" t="n">
        <f aca="false">IF(AC$8=1,mix_alta_per,mix_per)</f>
        <v>0.07</v>
      </c>
      <c r="AD20" s="20" t="n">
        <f aca="false">IF(AD$8=1,mix_alta_per,mix_per)</f>
        <v>0.07</v>
      </c>
      <c r="AE20" s="20" t="n">
        <f aca="false">IF(AE$8=1,mix_alta_per,mix_per)</f>
        <v>0.07</v>
      </c>
      <c r="AF20" s="20" t="n">
        <f aca="false">IF(AF$8=1,mix_alta_per,mix_per)</f>
        <v>0.07</v>
      </c>
      <c r="AG20" s="20" t="n">
        <f aca="false">IF(AG$8=1,mix_alta_per,mix_per)</f>
        <v>0.07</v>
      </c>
      <c r="AH20" s="20" t="n">
        <f aca="false">IF(AH$8=1,mix_alta_per,mix_per)</f>
        <v>0.07</v>
      </c>
      <c r="AI20" s="20" t="n">
        <f aca="false">IF(AI$8=1,mix_alta_per,mix_per)</f>
        <v>0.07</v>
      </c>
      <c r="AJ20" s="20" t="n">
        <f aca="false">IF(AJ$8=1,mix_alta_per,mix_per)</f>
        <v>0.07</v>
      </c>
      <c r="AK20" s="20" t="n">
        <f aca="false">IF(AK$8=1,mix_alta_per,mix_per)</f>
        <v>0.07</v>
      </c>
      <c r="AL20" s="20" t="n">
        <f aca="false">IF(AL$8=1,mix_alta_per,mix_per)</f>
        <v>0.08</v>
      </c>
    </row>
    <row r="21" customFormat="false" ht="15" hidden="false" customHeight="true" outlineLevel="0" collapsed="false">
      <c r="A21" s="5" t="s">
        <v>768</v>
      </c>
      <c r="B21" s="3" t="s">
        <v>265</v>
      </c>
      <c r="C21" s="22" t="n">
        <f aca="false">C16*C17</f>
        <v>1285.5375</v>
      </c>
      <c r="D21" s="22" t="n">
        <f aca="false">D16*D17</f>
        <v>730.6875</v>
      </c>
      <c r="E21" s="22" t="n">
        <f aca="false">E16*E17</f>
        <v>1766.625</v>
      </c>
      <c r="F21" s="22" t="n">
        <f aca="false">F16*F17</f>
        <v>2562.2625</v>
      </c>
      <c r="G21" s="22" t="n">
        <f aca="false">G16*G17</f>
        <v>3599.4328125</v>
      </c>
      <c r="H21" s="22" t="n">
        <f aca="false">H16*H17</f>
        <v>4608.1875</v>
      </c>
      <c r="I21" s="22" t="n">
        <f aca="false">I16*I17</f>
        <v>5219.1234375</v>
      </c>
      <c r="J21" s="22" t="n">
        <f aca="false">J16*J17</f>
        <v>5176.5</v>
      </c>
      <c r="K21" s="22" t="n">
        <f aca="false">K16*K17</f>
        <v>4546.5</v>
      </c>
      <c r="L21" s="22" t="n">
        <f aca="false">L16*L17</f>
        <v>4546.5</v>
      </c>
      <c r="M21" s="22" t="n">
        <f aca="false">M16*M17</f>
        <v>4830.65625</v>
      </c>
      <c r="N21" s="22" t="n">
        <f aca="false">N16*N17</f>
        <v>7794</v>
      </c>
      <c r="O21" s="22" t="n">
        <f aca="false">O16*O17</f>
        <v>10180.9125</v>
      </c>
      <c r="P21" s="22" t="n">
        <f aca="false">P16*P17</f>
        <v>8037.5625</v>
      </c>
      <c r="Q21" s="22" t="n">
        <f aca="false">Q16*Q17</f>
        <v>5001.15</v>
      </c>
      <c r="R21" s="22" t="n">
        <f aca="false">R16*R17</f>
        <v>5313.721875</v>
      </c>
      <c r="S21" s="22" t="n">
        <f aca="false">S16*S17</f>
        <v>5938.865625</v>
      </c>
      <c r="T21" s="22" t="n">
        <f aca="false">T16*T17</f>
        <v>6251.4375</v>
      </c>
      <c r="U21" s="22" t="n">
        <f aca="false">U16*U17</f>
        <v>5938.865625</v>
      </c>
      <c r="V21" s="22" t="n">
        <f aca="false">V16*V17</f>
        <v>5001.15</v>
      </c>
      <c r="W21" s="22" t="n">
        <f aca="false">W16*W17</f>
        <v>5001.15</v>
      </c>
      <c r="X21" s="22" t="n">
        <f aca="false">X16*X17</f>
        <v>5001.15</v>
      </c>
      <c r="Y21" s="22" t="n">
        <f aca="false">Y16*Y17</f>
        <v>5313.721875</v>
      </c>
      <c r="Z21" s="22" t="n">
        <f aca="false">Z16*Z17</f>
        <v>8573.4</v>
      </c>
      <c r="AA21" s="22" t="n">
        <f aca="false">AA16*AA17</f>
        <v>11199.00375</v>
      </c>
      <c r="AB21" s="22" t="n">
        <f aca="false">AB16*AB17</f>
        <v>8841.31875</v>
      </c>
      <c r="AC21" s="22" t="n">
        <f aca="false">AC16*AC17</f>
        <v>5501.265</v>
      </c>
      <c r="AD21" s="22" t="n">
        <f aca="false">AD16*AD17</f>
        <v>5845.0940625</v>
      </c>
      <c r="AE21" s="22" t="n">
        <f aca="false">AE16*AE17</f>
        <v>6532.7521875</v>
      </c>
      <c r="AF21" s="22" t="n">
        <f aca="false">AF16*AF17</f>
        <v>6876.58125</v>
      </c>
      <c r="AG21" s="22" t="n">
        <f aca="false">AG16*AG17</f>
        <v>6532.7521875</v>
      </c>
      <c r="AH21" s="22" t="n">
        <f aca="false">AH16*AH17</f>
        <v>5501.265</v>
      </c>
      <c r="AI21" s="22" t="n">
        <f aca="false">AI16*AI17</f>
        <v>5501.265</v>
      </c>
      <c r="AJ21" s="22" t="n">
        <f aca="false">AJ16*AJ17</f>
        <v>5501.265</v>
      </c>
      <c r="AK21" s="22" t="n">
        <f aca="false">AK16*AK17</f>
        <v>5845.0940625</v>
      </c>
      <c r="AL21" s="22" t="n">
        <f aca="false">AL16*AL17</f>
        <v>9430.74</v>
      </c>
    </row>
    <row r="22" customFormat="false" ht="15" hidden="false" customHeight="true" outlineLevel="0" collapsed="false">
      <c r="A22" s="5" t="s">
        <v>769</v>
      </c>
      <c r="B22" s="3" t="s">
        <v>265</v>
      </c>
      <c r="C22" s="22" t="n">
        <f aca="false">C16*C18</f>
        <v>1285.5375</v>
      </c>
      <c r="D22" s="22" t="n">
        <f aca="false">D16*D18</f>
        <v>730.6875</v>
      </c>
      <c r="E22" s="22" t="n">
        <f aca="false">E16*E18</f>
        <v>2019</v>
      </c>
      <c r="F22" s="22" t="n">
        <f aca="false">F16*F18</f>
        <v>2928.3</v>
      </c>
      <c r="G22" s="22" t="n">
        <f aca="false">G16*G18</f>
        <v>4113.6375</v>
      </c>
      <c r="H22" s="22" t="n">
        <f aca="false">H16*H18</f>
        <v>5266.5</v>
      </c>
      <c r="I22" s="22" t="n">
        <f aca="false">I16*I18</f>
        <v>5964.7125</v>
      </c>
      <c r="J22" s="22" t="n">
        <f aca="false">J16*J18</f>
        <v>5916</v>
      </c>
      <c r="K22" s="22" t="n">
        <f aca="false">K16*K18</f>
        <v>5196</v>
      </c>
      <c r="L22" s="22" t="n">
        <f aca="false">L16*L18</f>
        <v>5196</v>
      </c>
      <c r="M22" s="22" t="n">
        <f aca="false">M16*M18</f>
        <v>5520.75</v>
      </c>
      <c r="N22" s="22" t="n">
        <f aca="false">N16*N18</f>
        <v>7794</v>
      </c>
      <c r="O22" s="22" t="n">
        <f aca="false">O16*O18</f>
        <v>10180.9125</v>
      </c>
      <c r="P22" s="22" t="n">
        <f aca="false">P16*P18</f>
        <v>8037.5625</v>
      </c>
      <c r="Q22" s="22" t="n">
        <f aca="false">Q16*Q18</f>
        <v>5715.6</v>
      </c>
      <c r="R22" s="22" t="n">
        <f aca="false">R16*R18</f>
        <v>6072.825</v>
      </c>
      <c r="S22" s="22" t="n">
        <f aca="false">S16*S18</f>
        <v>6787.275</v>
      </c>
      <c r="T22" s="22" t="n">
        <f aca="false">T16*T18</f>
        <v>7144.5</v>
      </c>
      <c r="U22" s="22" t="n">
        <f aca="false">U16*U18</f>
        <v>6787.275</v>
      </c>
      <c r="V22" s="22" t="n">
        <f aca="false">V16*V18</f>
        <v>5715.6</v>
      </c>
      <c r="W22" s="22" t="n">
        <f aca="false">W16*W18</f>
        <v>5715.6</v>
      </c>
      <c r="X22" s="22" t="n">
        <f aca="false">X16*X18</f>
        <v>5715.6</v>
      </c>
      <c r="Y22" s="22" t="n">
        <f aca="false">Y16*Y18</f>
        <v>6072.825</v>
      </c>
      <c r="Z22" s="22" t="n">
        <f aca="false">Z16*Z18</f>
        <v>8573.4</v>
      </c>
      <c r="AA22" s="22" t="n">
        <f aca="false">AA16*AA18</f>
        <v>11199.00375</v>
      </c>
      <c r="AB22" s="22" t="n">
        <f aca="false">AB16*AB18</f>
        <v>8841.31875</v>
      </c>
      <c r="AC22" s="22" t="n">
        <f aca="false">AC16*AC18</f>
        <v>6287.16</v>
      </c>
      <c r="AD22" s="22" t="n">
        <f aca="false">AD16*AD18</f>
        <v>6680.1075</v>
      </c>
      <c r="AE22" s="22" t="n">
        <f aca="false">AE16*AE18</f>
        <v>7466.0025</v>
      </c>
      <c r="AF22" s="22" t="n">
        <f aca="false">AF16*AF18</f>
        <v>7858.95</v>
      </c>
      <c r="AG22" s="22" t="n">
        <f aca="false">AG16*AG18</f>
        <v>7466.0025</v>
      </c>
      <c r="AH22" s="22" t="n">
        <f aca="false">AH16*AH18</f>
        <v>6287.16</v>
      </c>
      <c r="AI22" s="22" t="n">
        <f aca="false">AI16*AI18</f>
        <v>6287.16</v>
      </c>
      <c r="AJ22" s="22" t="n">
        <f aca="false">AJ16*AJ18</f>
        <v>6287.16</v>
      </c>
      <c r="AK22" s="22" t="n">
        <f aca="false">AK16*AK18</f>
        <v>6680.1075</v>
      </c>
      <c r="AL22" s="22" t="n">
        <f aca="false">AL16*AL18</f>
        <v>9430.74</v>
      </c>
    </row>
    <row r="23" customFormat="false" ht="15" hidden="false" customHeight="true" outlineLevel="0" collapsed="false">
      <c r="A23" s="5" t="s">
        <v>770</v>
      </c>
      <c r="B23" s="3" t="s">
        <v>265</v>
      </c>
      <c r="C23" s="22" t="n">
        <f aca="false">C16*C19</f>
        <v>1371.24</v>
      </c>
      <c r="D23" s="22" t="n">
        <f aca="false">D16*D19</f>
        <v>779.4</v>
      </c>
      <c r="E23" s="22" t="n">
        <f aca="false">E16*E19</f>
        <v>908.55</v>
      </c>
      <c r="F23" s="22" t="n">
        <f aca="false">F16*F19</f>
        <v>1317.735</v>
      </c>
      <c r="G23" s="22" t="n">
        <f aca="false">G16*G19</f>
        <v>1851.136875</v>
      </c>
      <c r="H23" s="22" t="n">
        <f aca="false">H16*H19</f>
        <v>2369.925</v>
      </c>
      <c r="I23" s="22" t="n">
        <f aca="false">I16*I19</f>
        <v>2684.120625</v>
      </c>
      <c r="J23" s="22" t="n">
        <f aca="false">J16*J19</f>
        <v>2662.2</v>
      </c>
      <c r="K23" s="22" t="n">
        <f aca="false">K16*K19</f>
        <v>2338.2</v>
      </c>
      <c r="L23" s="22" t="n">
        <f aca="false">L16*L19</f>
        <v>2338.2</v>
      </c>
      <c r="M23" s="22" t="n">
        <f aca="false">M16*M19</f>
        <v>2484.3375</v>
      </c>
      <c r="N23" s="22" t="n">
        <f aca="false">N16*N19</f>
        <v>8313.6</v>
      </c>
      <c r="O23" s="22" t="n">
        <f aca="false">O16*O19</f>
        <v>10859.64</v>
      </c>
      <c r="P23" s="22" t="n">
        <f aca="false">P16*P19</f>
        <v>8573.4</v>
      </c>
      <c r="Q23" s="22" t="n">
        <f aca="false">Q16*Q19</f>
        <v>2572.02</v>
      </c>
      <c r="R23" s="22" t="n">
        <f aca="false">R16*R19</f>
        <v>2732.77125</v>
      </c>
      <c r="S23" s="22" t="n">
        <f aca="false">S16*S19</f>
        <v>3054.27375</v>
      </c>
      <c r="T23" s="22" t="n">
        <f aca="false">T16*T19</f>
        <v>3215.025</v>
      </c>
      <c r="U23" s="22" t="n">
        <f aca="false">U16*U19</f>
        <v>3054.27375</v>
      </c>
      <c r="V23" s="22" t="n">
        <f aca="false">V16*V19</f>
        <v>2572.02</v>
      </c>
      <c r="W23" s="22" t="n">
        <f aca="false">W16*W19</f>
        <v>2572.02</v>
      </c>
      <c r="X23" s="22" t="n">
        <f aca="false">X16*X19</f>
        <v>2572.02</v>
      </c>
      <c r="Y23" s="22" t="n">
        <f aca="false">Y16*Y19</f>
        <v>2732.77125</v>
      </c>
      <c r="Z23" s="22" t="n">
        <f aca="false">Z16*Z19</f>
        <v>9144.96</v>
      </c>
      <c r="AA23" s="22" t="n">
        <f aca="false">AA16*AA19</f>
        <v>11945.604</v>
      </c>
      <c r="AB23" s="22" t="n">
        <f aca="false">AB16*AB19</f>
        <v>9430.74</v>
      </c>
      <c r="AC23" s="22" t="n">
        <f aca="false">AC16*AC19</f>
        <v>2829.222</v>
      </c>
      <c r="AD23" s="22" t="n">
        <f aca="false">AD16*AD19</f>
        <v>3006.048375</v>
      </c>
      <c r="AE23" s="22" t="n">
        <f aca="false">AE16*AE19</f>
        <v>3359.701125</v>
      </c>
      <c r="AF23" s="22" t="n">
        <f aca="false">AF16*AF19</f>
        <v>3536.5275</v>
      </c>
      <c r="AG23" s="22" t="n">
        <f aca="false">AG16*AG19</f>
        <v>3359.701125</v>
      </c>
      <c r="AH23" s="22" t="n">
        <f aca="false">AH16*AH19</f>
        <v>2829.222</v>
      </c>
      <c r="AI23" s="22" t="n">
        <f aca="false">AI16*AI19</f>
        <v>2829.222</v>
      </c>
      <c r="AJ23" s="22" t="n">
        <f aca="false">AJ16*AJ19</f>
        <v>2829.222</v>
      </c>
      <c r="AK23" s="22" t="n">
        <f aca="false">AK16*AK19</f>
        <v>3006.048375</v>
      </c>
      <c r="AL23" s="22" t="n">
        <f aca="false">AL16*AL19</f>
        <v>10059.456</v>
      </c>
    </row>
    <row r="24" customFormat="false" ht="15" hidden="false" customHeight="true" outlineLevel="0" collapsed="false">
      <c r="A24" s="5" t="s">
        <v>771</v>
      </c>
      <c r="B24" s="3" t="s">
        <v>265</v>
      </c>
      <c r="C24" s="22" t="n">
        <f aca="false">C16*C20</f>
        <v>342.81</v>
      </c>
      <c r="D24" s="22" t="n">
        <f aca="false">D16*D20</f>
        <v>194.85</v>
      </c>
      <c r="E24" s="22" t="n">
        <f aca="false">E16*E20</f>
        <v>353.325</v>
      </c>
      <c r="F24" s="22" t="n">
        <f aca="false">F16*F20</f>
        <v>512.4525</v>
      </c>
      <c r="G24" s="22" t="n">
        <f aca="false">G16*G20</f>
        <v>719.8865625</v>
      </c>
      <c r="H24" s="22" t="n">
        <f aca="false">H16*H20</f>
        <v>921.6375</v>
      </c>
      <c r="I24" s="22" t="n">
        <f aca="false">I16*I20</f>
        <v>1043.8246875</v>
      </c>
      <c r="J24" s="22" t="n">
        <f aca="false">J16*J20</f>
        <v>1035.3</v>
      </c>
      <c r="K24" s="22" t="n">
        <f aca="false">K16*K20</f>
        <v>909.3</v>
      </c>
      <c r="L24" s="22" t="n">
        <f aca="false">L16*L20</f>
        <v>909.3</v>
      </c>
      <c r="M24" s="22" t="n">
        <f aca="false">M16*M20</f>
        <v>966.13125</v>
      </c>
      <c r="N24" s="22" t="n">
        <f aca="false">N16*N20</f>
        <v>2078.4</v>
      </c>
      <c r="O24" s="22" t="n">
        <f aca="false">O16*O20</f>
        <v>2714.91</v>
      </c>
      <c r="P24" s="22" t="n">
        <f aca="false">P16*P20</f>
        <v>2143.35</v>
      </c>
      <c r="Q24" s="22" t="n">
        <f aca="false">Q16*Q20</f>
        <v>1000.23</v>
      </c>
      <c r="R24" s="22" t="n">
        <f aca="false">R16*R20</f>
        <v>1062.744375</v>
      </c>
      <c r="S24" s="22" t="n">
        <f aca="false">S16*S20</f>
        <v>1187.773125</v>
      </c>
      <c r="T24" s="22" t="n">
        <f aca="false">T16*T20</f>
        <v>1250.2875</v>
      </c>
      <c r="U24" s="22" t="n">
        <f aca="false">U16*U20</f>
        <v>1187.773125</v>
      </c>
      <c r="V24" s="22" t="n">
        <f aca="false">V16*V20</f>
        <v>1000.23</v>
      </c>
      <c r="W24" s="22" t="n">
        <f aca="false">W16*W20</f>
        <v>1000.23</v>
      </c>
      <c r="X24" s="22" t="n">
        <f aca="false">X16*X20</f>
        <v>1000.23</v>
      </c>
      <c r="Y24" s="22" t="n">
        <f aca="false">Y16*Y20</f>
        <v>1062.744375</v>
      </c>
      <c r="Z24" s="22" t="n">
        <f aca="false">Z16*Z20</f>
        <v>2286.24</v>
      </c>
      <c r="AA24" s="22" t="n">
        <f aca="false">AA16*AA20</f>
        <v>2986.401</v>
      </c>
      <c r="AB24" s="22" t="n">
        <f aca="false">AB16*AB20</f>
        <v>2357.685</v>
      </c>
      <c r="AC24" s="22" t="n">
        <f aca="false">AC16*AC20</f>
        <v>1100.253</v>
      </c>
      <c r="AD24" s="22" t="n">
        <f aca="false">AD16*AD20</f>
        <v>1169.0188125</v>
      </c>
      <c r="AE24" s="22" t="n">
        <f aca="false">AE16*AE20</f>
        <v>1306.5504375</v>
      </c>
      <c r="AF24" s="22" t="n">
        <f aca="false">AF16*AF20</f>
        <v>1375.31625</v>
      </c>
      <c r="AG24" s="22" t="n">
        <f aca="false">AG16*AG20</f>
        <v>1306.5504375</v>
      </c>
      <c r="AH24" s="22" t="n">
        <f aca="false">AH16*AH20</f>
        <v>1100.253</v>
      </c>
      <c r="AI24" s="22" t="n">
        <f aca="false">AI16*AI20</f>
        <v>1100.253</v>
      </c>
      <c r="AJ24" s="22" t="n">
        <f aca="false">AJ16*AJ20</f>
        <v>1100.253</v>
      </c>
      <c r="AK24" s="22" t="n">
        <f aca="false">AK16*AK20</f>
        <v>1169.0188125</v>
      </c>
      <c r="AL24" s="22" t="n">
        <f aca="false">AL16*AL20</f>
        <v>2514.864</v>
      </c>
    </row>
    <row r="25" customFormat="false" ht="15" hidden="false" customHeight="true" outlineLevel="0" collapsed="false">
      <c r="A25" s="5" t="s">
        <v>772</v>
      </c>
      <c r="B25" s="3" t="s">
        <v>265</v>
      </c>
      <c r="C25" s="22" t="n">
        <f aca="false">C15*pct_devol</f>
        <v>48</v>
      </c>
      <c r="D25" s="22" t="n">
        <f aca="false">D15*pct_devol</f>
        <v>0</v>
      </c>
      <c r="E25" s="22" t="n">
        <f aca="false">E15*pct_devol</f>
        <v>72</v>
      </c>
      <c r="F25" s="22" t="n">
        <f aca="false">F15*pct_devol</f>
        <v>72</v>
      </c>
      <c r="G25" s="22" t="n">
        <f aca="false">G15*pct_devol</f>
        <v>72</v>
      </c>
      <c r="H25" s="22" t="n">
        <f aca="false">H15*pct_devol</f>
        <v>72</v>
      </c>
      <c r="I25" s="22" t="n">
        <f aca="false">I15*pct_devol</f>
        <v>72</v>
      </c>
      <c r="J25" s="22" t="n">
        <f aca="false">J15*pct_devol</f>
        <v>72</v>
      </c>
      <c r="K25" s="22" t="n">
        <f aca="false">K15*pct_devol</f>
        <v>0</v>
      </c>
      <c r="L25" s="22" t="n">
        <f aca="false">L15*pct_devol</f>
        <v>0</v>
      </c>
      <c r="M25" s="22" t="n">
        <f aca="false">M15*pct_devol</f>
        <v>0</v>
      </c>
      <c r="N25" s="22" t="n">
        <f aca="false">N15*pct_devol</f>
        <v>0</v>
      </c>
      <c r="O25" s="22" t="n">
        <f aca="false">O15*pct_devol</f>
        <v>0</v>
      </c>
      <c r="P25" s="22" t="n">
        <f aca="false">P15*pct_devol</f>
        <v>0</v>
      </c>
      <c r="Q25" s="22" t="n">
        <f aca="false">Q15*pct_devol</f>
        <v>0</v>
      </c>
      <c r="R25" s="22" t="n">
        <f aca="false">R15*pct_devol</f>
        <v>0</v>
      </c>
      <c r="S25" s="22" t="n">
        <f aca="false">S15*pct_devol</f>
        <v>0</v>
      </c>
      <c r="T25" s="22" t="n">
        <f aca="false">T15*pct_devol</f>
        <v>0</v>
      </c>
      <c r="U25" s="22" t="n">
        <f aca="false">U15*pct_devol</f>
        <v>0</v>
      </c>
      <c r="V25" s="22" t="n">
        <f aca="false">V15*pct_devol</f>
        <v>0</v>
      </c>
      <c r="W25" s="22" t="n">
        <f aca="false">W15*pct_devol</f>
        <v>0</v>
      </c>
      <c r="X25" s="22" t="n">
        <f aca="false">X15*pct_devol</f>
        <v>0</v>
      </c>
      <c r="Y25" s="22" t="n">
        <f aca="false">Y15*pct_devol</f>
        <v>0</v>
      </c>
      <c r="Z25" s="22" t="n">
        <f aca="false">Z15*pct_devol</f>
        <v>0</v>
      </c>
      <c r="AA25" s="22" t="n">
        <f aca="false">AA15*pct_devol</f>
        <v>0</v>
      </c>
      <c r="AB25" s="22" t="n">
        <f aca="false">AB15*pct_devol</f>
        <v>0</v>
      </c>
      <c r="AC25" s="22" t="n">
        <f aca="false">AC15*pct_devol</f>
        <v>0</v>
      </c>
      <c r="AD25" s="22" t="n">
        <f aca="false">AD15*pct_devol</f>
        <v>0</v>
      </c>
      <c r="AE25" s="22" t="n">
        <f aca="false">AE15*pct_devol</f>
        <v>0</v>
      </c>
      <c r="AF25" s="22" t="n">
        <f aca="false">AF15*pct_devol</f>
        <v>0</v>
      </c>
      <c r="AG25" s="22" t="n">
        <f aca="false">AG15*pct_devol</f>
        <v>0</v>
      </c>
      <c r="AH25" s="22" t="n">
        <f aca="false">AH15*pct_devol</f>
        <v>0</v>
      </c>
      <c r="AI25" s="22" t="n">
        <f aca="false">AI15*pct_devol</f>
        <v>0</v>
      </c>
      <c r="AJ25" s="22" t="n">
        <f aca="false">AJ15*pct_devol</f>
        <v>0</v>
      </c>
      <c r="AK25" s="22" t="n">
        <f aca="false">AK15*pct_devol</f>
        <v>0</v>
      </c>
      <c r="AL25" s="22" t="n">
        <f aca="false">AL15*pct_devol</f>
        <v>0</v>
      </c>
    </row>
    <row r="27" customFormat="false" ht="15" hidden="false" customHeight="true" outlineLevel="0" collapsed="false">
      <c r="A27" s="28" t="s">
        <v>773</v>
      </c>
      <c r="B27" s="29"/>
    </row>
    <row r="28" customFormat="false" ht="15" hidden="false" customHeight="true" outlineLevel="0" collapsed="false">
      <c r="A28" s="5" t="s">
        <v>774</v>
      </c>
      <c r="B28" s="3" t="s">
        <v>358</v>
      </c>
      <c r="C28" s="74" t="n">
        <f aca="false">IF(C$3&lt;inicio_parr,0,MIN(1,(C$3-inicio_parr+1)/rampa_parr))*parroquias_total*adop_parr</f>
        <v>0</v>
      </c>
      <c r="D28" s="74" t="n">
        <f aca="false">IF(D$3&lt;inicio_parr,0,MIN(1,(D$3-inicio_parr+1)/rampa_parr))*parroquias_total*adop_parr</f>
        <v>2.125</v>
      </c>
      <c r="E28" s="74" t="n">
        <f aca="false">IF(E$3&lt;inicio_parr,0,MIN(1,(E$3-inicio_parr+1)/rampa_parr))*parroquias_total*adop_parr</f>
        <v>4.25</v>
      </c>
      <c r="F28" s="74" t="n">
        <f aca="false">IF(F$3&lt;inicio_parr,0,MIN(1,(F$3-inicio_parr+1)/rampa_parr))*parroquias_total*adop_parr</f>
        <v>6.375</v>
      </c>
      <c r="G28" s="74" t="n">
        <f aca="false">IF(G$3&lt;inicio_parr,0,MIN(1,(G$3-inicio_parr+1)/rampa_parr))*parroquias_total*adop_parr</f>
        <v>8.5</v>
      </c>
      <c r="H28" s="74" t="n">
        <f aca="false">IF(H$3&lt;inicio_parr,0,MIN(1,(H$3-inicio_parr+1)/rampa_parr))*parroquias_total*adop_parr</f>
        <v>10.625</v>
      </c>
      <c r="I28" s="74" t="n">
        <f aca="false">IF(I$3&lt;inicio_parr,0,MIN(1,(I$3-inicio_parr+1)/rampa_parr))*parroquias_total*adop_parr</f>
        <v>12.75</v>
      </c>
      <c r="J28" s="74" t="n">
        <f aca="false">IF(J$3&lt;inicio_parr,0,MIN(1,(J$3-inicio_parr+1)/rampa_parr))*parroquias_total*adop_parr</f>
        <v>12.75</v>
      </c>
      <c r="K28" s="74" t="n">
        <f aca="false">IF(K$3&lt;inicio_parr,0,MIN(1,(K$3-inicio_parr+1)/rampa_parr))*parroquias_total*adop_parr</f>
        <v>12.75</v>
      </c>
      <c r="L28" s="74" t="n">
        <f aca="false">IF(L$3&lt;inicio_parr,0,MIN(1,(L$3-inicio_parr+1)/rampa_parr))*parroquias_total*adop_parr</f>
        <v>12.75</v>
      </c>
      <c r="M28" s="74" t="n">
        <f aca="false">IF(M$3&lt;inicio_parr,0,MIN(1,(M$3-inicio_parr+1)/rampa_parr))*parroquias_total*adop_parr</f>
        <v>12.75</v>
      </c>
      <c r="N28" s="74" t="n">
        <f aca="false">IF(N$3&lt;inicio_parr,0,MIN(1,(N$3-inicio_parr+1)/rampa_parr))*parroquias_total*adop_parr</f>
        <v>12.75</v>
      </c>
      <c r="O28" s="74" t="n">
        <f aca="false">IF(O$3&lt;inicio_parr,0,MIN(1,(O$3-inicio_parr+1)/rampa_parr))*parroquias_total*adop_parr</f>
        <v>12.75</v>
      </c>
      <c r="P28" s="74" t="n">
        <f aca="false">IF(P$3&lt;inicio_parr,0,MIN(1,(P$3-inicio_parr+1)/rampa_parr))*parroquias_total*adop_parr</f>
        <v>12.75</v>
      </c>
      <c r="Q28" s="74" t="n">
        <f aca="false">IF(Q$3&lt;inicio_parr,0,MIN(1,(Q$3-inicio_parr+1)/rampa_parr))*parroquias_total*adop_parr</f>
        <v>12.75</v>
      </c>
      <c r="R28" s="74" t="n">
        <f aca="false">IF(R$3&lt;inicio_parr,0,MIN(1,(R$3-inicio_parr+1)/rampa_parr))*parroquias_total*adop_parr</f>
        <v>12.75</v>
      </c>
      <c r="S28" s="74" t="n">
        <f aca="false">IF(S$3&lt;inicio_parr,0,MIN(1,(S$3-inicio_parr+1)/rampa_parr))*parroquias_total*adop_parr</f>
        <v>12.75</v>
      </c>
      <c r="T28" s="74" t="n">
        <f aca="false">IF(T$3&lt;inicio_parr,0,MIN(1,(T$3-inicio_parr+1)/rampa_parr))*parroquias_total*adop_parr</f>
        <v>12.75</v>
      </c>
      <c r="U28" s="74" t="n">
        <f aca="false">IF(U$3&lt;inicio_parr,0,MIN(1,(U$3-inicio_parr+1)/rampa_parr))*parroquias_total*adop_parr</f>
        <v>12.75</v>
      </c>
      <c r="V28" s="74" t="n">
        <f aca="false">IF(V$3&lt;inicio_parr,0,MIN(1,(V$3-inicio_parr+1)/rampa_parr))*parroquias_total*adop_parr</f>
        <v>12.75</v>
      </c>
      <c r="W28" s="74" t="n">
        <f aca="false">IF(W$3&lt;inicio_parr,0,MIN(1,(W$3-inicio_parr+1)/rampa_parr))*parroquias_total*adop_parr</f>
        <v>12.75</v>
      </c>
      <c r="X28" s="74" t="n">
        <f aca="false">IF(X$3&lt;inicio_parr,0,MIN(1,(X$3-inicio_parr+1)/rampa_parr))*parroquias_total*adop_parr</f>
        <v>12.75</v>
      </c>
      <c r="Y28" s="74" t="n">
        <f aca="false">IF(Y$3&lt;inicio_parr,0,MIN(1,(Y$3-inicio_parr+1)/rampa_parr))*parroquias_total*adop_parr</f>
        <v>12.75</v>
      </c>
      <c r="Z28" s="74" t="n">
        <f aca="false">IF(Z$3&lt;inicio_parr,0,MIN(1,(Z$3-inicio_parr+1)/rampa_parr))*parroquias_total*adop_parr</f>
        <v>12.75</v>
      </c>
      <c r="AA28" s="74" t="n">
        <f aca="false">IF(AA$3&lt;inicio_parr,0,MIN(1,(AA$3-inicio_parr+1)/rampa_parr))*parroquias_total*adop_parr</f>
        <v>12.75</v>
      </c>
      <c r="AB28" s="74" t="n">
        <f aca="false">IF(AB$3&lt;inicio_parr,0,MIN(1,(AB$3-inicio_parr+1)/rampa_parr))*parroquias_total*adop_parr</f>
        <v>12.75</v>
      </c>
      <c r="AC28" s="74" t="n">
        <f aca="false">IF(AC$3&lt;inicio_parr,0,MIN(1,(AC$3-inicio_parr+1)/rampa_parr))*parroquias_total*adop_parr</f>
        <v>12.75</v>
      </c>
      <c r="AD28" s="74" t="n">
        <f aca="false">IF(AD$3&lt;inicio_parr,0,MIN(1,(AD$3-inicio_parr+1)/rampa_parr))*parroquias_total*adop_parr</f>
        <v>12.75</v>
      </c>
      <c r="AE28" s="74" t="n">
        <f aca="false">IF(AE$3&lt;inicio_parr,0,MIN(1,(AE$3-inicio_parr+1)/rampa_parr))*parroquias_total*adop_parr</f>
        <v>12.75</v>
      </c>
      <c r="AF28" s="74" t="n">
        <f aca="false">IF(AF$3&lt;inicio_parr,0,MIN(1,(AF$3-inicio_parr+1)/rampa_parr))*parroquias_total*adop_parr</f>
        <v>12.75</v>
      </c>
      <c r="AG28" s="74" t="n">
        <f aca="false">IF(AG$3&lt;inicio_parr,0,MIN(1,(AG$3-inicio_parr+1)/rampa_parr))*parroquias_total*adop_parr</f>
        <v>12.75</v>
      </c>
      <c r="AH28" s="74" t="n">
        <f aca="false">IF(AH$3&lt;inicio_parr,0,MIN(1,(AH$3-inicio_parr+1)/rampa_parr))*parroquias_total*adop_parr</f>
        <v>12.75</v>
      </c>
      <c r="AI28" s="74" t="n">
        <f aca="false">IF(AI$3&lt;inicio_parr,0,MIN(1,(AI$3-inicio_parr+1)/rampa_parr))*parroquias_total*adop_parr</f>
        <v>12.75</v>
      </c>
      <c r="AJ28" s="74" t="n">
        <f aca="false">IF(AJ$3&lt;inicio_parr,0,MIN(1,(AJ$3-inicio_parr+1)/rampa_parr))*parroquias_total*adop_parr</f>
        <v>12.75</v>
      </c>
      <c r="AK28" s="74" t="n">
        <f aca="false">IF(AK$3&lt;inicio_parr,0,MIN(1,(AK$3-inicio_parr+1)/rampa_parr))*parroquias_total*adop_parr</f>
        <v>12.75</v>
      </c>
      <c r="AL28" s="74" t="n">
        <f aca="false">IF(AL$3&lt;inicio_parr,0,MIN(1,(AL$3-inicio_parr+1)/rampa_parr))*parroquias_total*adop_parr</f>
        <v>12.75</v>
      </c>
    </row>
    <row r="29" customFormat="false" ht="15" hidden="false" customHeight="true" outlineLevel="0" collapsed="false">
      <c r="A29" s="5" t="s">
        <v>775</v>
      </c>
      <c r="B29" s="3" t="s">
        <v>265</v>
      </c>
      <c r="C29" s="22" t="n">
        <f aca="false">C28*rep_sem_parr*semanas_mes</f>
        <v>0</v>
      </c>
      <c r="D29" s="22" t="n">
        <f aca="false">D28*rep_sem_parr*semanas_mes</f>
        <v>9.20125</v>
      </c>
      <c r="E29" s="22" t="n">
        <f aca="false">E28*rep_sem_parr*semanas_mes</f>
        <v>18.4025</v>
      </c>
      <c r="F29" s="22" t="n">
        <f aca="false">F28*rep_sem_parr*semanas_mes</f>
        <v>27.60375</v>
      </c>
      <c r="G29" s="22" t="n">
        <f aca="false">G28*rep_sem_parr*semanas_mes</f>
        <v>36.805</v>
      </c>
      <c r="H29" s="22" t="n">
        <f aca="false">H28*rep_sem_parr*semanas_mes</f>
        <v>46.00625</v>
      </c>
      <c r="I29" s="22" t="n">
        <f aca="false">I28*rep_sem_parr*semanas_mes</f>
        <v>55.2075</v>
      </c>
      <c r="J29" s="22" t="n">
        <f aca="false">J28*rep_sem_parr*semanas_mes</f>
        <v>55.2075</v>
      </c>
      <c r="K29" s="22" t="n">
        <f aca="false">K28*rep_sem_parr*semanas_mes</f>
        <v>55.2075</v>
      </c>
      <c r="L29" s="22" t="n">
        <f aca="false">L28*rep_sem_parr*semanas_mes</f>
        <v>55.2075</v>
      </c>
      <c r="M29" s="22" t="n">
        <f aca="false">M28*rep_sem_parr*semanas_mes</f>
        <v>55.2075</v>
      </c>
      <c r="N29" s="22" t="n">
        <f aca="false">N28*rep_sem_parr*semanas_mes</f>
        <v>55.2075</v>
      </c>
      <c r="O29" s="22" t="n">
        <f aca="false">O28*rep_sem_parr*semanas_mes</f>
        <v>55.2075</v>
      </c>
      <c r="P29" s="22" t="n">
        <f aca="false">P28*rep_sem_parr*semanas_mes</f>
        <v>55.2075</v>
      </c>
      <c r="Q29" s="22" t="n">
        <f aca="false">Q28*rep_sem_parr*semanas_mes</f>
        <v>55.2075</v>
      </c>
      <c r="R29" s="22" t="n">
        <f aca="false">R28*rep_sem_parr*semanas_mes</f>
        <v>55.2075</v>
      </c>
      <c r="S29" s="22" t="n">
        <f aca="false">S28*rep_sem_parr*semanas_mes</f>
        <v>55.2075</v>
      </c>
      <c r="T29" s="22" t="n">
        <f aca="false">T28*rep_sem_parr*semanas_mes</f>
        <v>55.2075</v>
      </c>
      <c r="U29" s="22" t="n">
        <f aca="false">U28*rep_sem_parr*semanas_mes</f>
        <v>55.2075</v>
      </c>
      <c r="V29" s="22" t="n">
        <f aca="false">V28*rep_sem_parr*semanas_mes</f>
        <v>55.2075</v>
      </c>
      <c r="W29" s="22" t="n">
        <f aca="false">W28*rep_sem_parr*semanas_mes</f>
        <v>55.2075</v>
      </c>
      <c r="X29" s="22" t="n">
        <f aca="false">X28*rep_sem_parr*semanas_mes</f>
        <v>55.2075</v>
      </c>
      <c r="Y29" s="22" t="n">
        <f aca="false">Y28*rep_sem_parr*semanas_mes</f>
        <v>55.2075</v>
      </c>
      <c r="Z29" s="22" t="n">
        <f aca="false">Z28*rep_sem_parr*semanas_mes</f>
        <v>55.2075</v>
      </c>
      <c r="AA29" s="22" t="n">
        <f aca="false">AA28*rep_sem_parr*semanas_mes</f>
        <v>55.2075</v>
      </c>
      <c r="AB29" s="22" t="n">
        <f aca="false">AB28*rep_sem_parr*semanas_mes</f>
        <v>55.2075</v>
      </c>
      <c r="AC29" s="22" t="n">
        <f aca="false">AC28*rep_sem_parr*semanas_mes</f>
        <v>55.2075</v>
      </c>
      <c r="AD29" s="22" t="n">
        <f aca="false">AD28*rep_sem_parr*semanas_mes</f>
        <v>55.2075</v>
      </c>
      <c r="AE29" s="22" t="n">
        <f aca="false">AE28*rep_sem_parr*semanas_mes</f>
        <v>55.2075</v>
      </c>
      <c r="AF29" s="22" t="n">
        <f aca="false">AF28*rep_sem_parr*semanas_mes</f>
        <v>55.2075</v>
      </c>
      <c r="AG29" s="22" t="n">
        <f aca="false">AG28*rep_sem_parr*semanas_mes</f>
        <v>55.2075</v>
      </c>
      <c r="AH29" s="22" t="n">
        <f aca="false">AH28*rep_sem_parr*semanas_mes</f>
        <v>55.2075</v>
      </c>
      <c r="AI29" s="22" t="n">
        <f aca="false">AI28*rep_sem_parr*semanas_mes</f>
        <v>55.2075</v>
      </c>
      <c r="AJ29" s="22" t="n">
        <f aca="false">AJ28*rep_sem_parr*semanas_mes</f>
        <v>55.2075</v>
      </c>
      <c r="AK29" s="22" t="n">
        <f aca="false">AK28*rep_sem_parr*semanas_mes</f>
        <v>55.2075</v>
      </c>
      <c r="AL29" s="22" t="n">
        <f aca="false">AL28*rep_sem_parr*semanas_mes</f>
        <v>55.2075</v>
      </c>
    </row>
    <row r="30" customFormat="false" ht="15" hidden="false" customHeight="true" outlineLevel="0" collapsed="false">
      <c r="A30" s="5" t="s">
        <v>776</v>
      </c>
      <c r="B30" s="3" t="s">
        <v>371</v>
      </c>
      <c r="C30" s="74" t="n">
        <f aca="false">IF(C$3&lt;inicio_rest,0,MIN(1,(C$3-inicio_rest+1)/rampa_rest))*rest_meta</f>
        <v>0</v>
      </c>
      <c r="D30" s="74" t="n">
        <f aca="false">IF(D$3&lt;inicio_rest,0,MIN(1,(D$3-inicio_rest+1)/rampa_rest))*rest_meta</f>
        <v>0</v>
      </c>
      <c r="E30" s="74" t="n">
        <f aca="false">IF(E$3&lt;inicio_rest,0,MIN(1,(E$3-inicio_rest+1)/rampa_rest))*rest_meta</f>
        <v>2.22222222222222</v>
      </c>
      <c r="F30" s="74" t="n">
        <f aca="false">IF(F$3&lt;inicio_rest,0,MIN(1,(F$3-inicio_rest+1)/rampa_rest))*rest_meta</f>
        <v>4.44444444444445</v>
      </c>
      <c r="G30" s="74" t="n">
        <f aca="false">IF(G$3&lt;inicio_rest,0,MIN(1,(G$3-inicio_rest+1)/rampa_rest))*rest_meta</f>
        <v>6.66666666666667</v>
      </c>
      <c r="H30" s="74" t="n">
        <f aca="false">IF(H$3&lt;inicio_rest,0,MIN(1,(H$3-inicio_rest+1)/rampa_rest))*rest_meta</f>
        <v>8.88888888888889</v>
      </c>
      <c r="I30" s="74" t="n">
        <f aca="false">IF(I$3&lt;inicio_rest,0,MIN(1,(I$3-inicio_rest+1)/rampa_rest))*rest_meta</f>
        <v>11.1111111111111</v>
      </c>
      <c r="J30" s="74" t="n">
        <f aca="false">IF(J$3&lt;inicio_rest,0,MIN(1,(J$3-inicio_rest+1)/rampa_rest))*rest_meta</f>
        <v>13.3333333333333</v>
      </c>
      <c r="K30" s="74" t="n">
        <f aca="false">IF(K$3&lt;inicio_rest,0,MIN(1,(K$3-inicio_rest+1)/rampa_rest))*rest_meta</f>
        <v>15.5555555555556</v>
      </c>
      <c r="L30" s="74" t="n">
        <f aca="false">IF(L$3&lt;inicio_rest,0,MIN(1,(L$3-inicio_rest+1)/rampa_rest))*rest_meta</f>
        <v>17.7777777777778</v>
      </c>
      <c r="M30" s="74" t="n">
        <f aca="false">IF(M$3&lt;inicio_rest,0,MIN(1,(M$3-inicio_rest+1)/rampa_rest))*rest_meta</f>
        <v>20</v>
      </c>
      <c r="N30" s="74" t="n">
        <f aca="false">IF(N$3&lt;inicio_rest,0,MIN(1,(N$3-inicio_rest+1)/rampa_rest))*rest_meta</f>
        <v>20</v>
      </c>
      <c r="O30" s="74" t="n">
        <f aca="false">IF(O$3&lt;inicio_rest,0,MIN(1,(O$3-inicio_rest+1)/rampa_rest))*rest_meta</f>
        <v>20</v>
      </c>
      <c r="P30" s="74" t="n">
        <f aca="false">IF(P$3&lt;inicio_rest,0,MIN(1,(P$3-inicio_rest+1)/rampa_rest))*rest_meta</f>
        <v>20</v>
      </c>
      <c r="Q30" s="74" t="n">
        <f aca="false">IF(Q$3&lt;inicio_rest,0,MIN(1,(Q$3-inicio_rest+1)/rampa_rest))*rest_meta</f>
        <v>20</v>
      </c>
      <c r="R30" s="74" t="n">
        <f aca="false">IF(R$3&lt;inicio_rest,0,MIN(1,(R$3-inicio_rest+1)/rampa_rest))*rest_meta</f>
        <v>20</v>
      </c>
      <c r="S30" s="74" t="n">
        <f aca="false">IF(S$3&lt;inicio_rest,0,MIN(1,(S$3-inicio_rest+1)/rampa_rest))*rest_meta</f>
        <v>20</v>
      </c>
      <c r="T30" s="74" t="n">
        <f aca="false">IF(T$3&lt;inicio_rest,0,MIN(1,(T$3-inicio_rest+1)/rampa_rest))*rest_meta</f>
        <v>20</v>
      </c>
      <c r="U30" s="74" t="n">
        <f aca="false">IF(U$3&lt;inicio_rest,0,MIN(1,(U$3-inicio_rest+1)/rampa_rest))*rest_meta</f>
        <v>20</v>
      </c>
      <c r="V30" s="74" t="n">
        <f aca="false">IF(V$3&lt;inicio_rest,0,MIN(1,(V$3-inicio_rest+1)/rampa_rest))*rest_meta</f>
        <v>20</v>
      </c>
      <c r="W30" s="74" t="n">
        <f aca="false">IF(W$3&lt;inicio_rest,0,MIN(1,(W$3-inicio_rest+1)/rampa_rest))*rest_meta</f>
        <v>20</v>
      </c>
      <c r="X30" s="74" t="n">
        <f aca="false">IF(X$3&lt;inicio_rest,0,MIN(1,(X$3-inicio_rest+1)/rampa_rest))*rest_meta</f>
        <v>20</v>
      </c>
      <c r="Y30" s="74" t="n">
        <f aca="false">IF(Y$3&lt;inicio_rest,0,MIN(1,(Y$3-inicio_rest+1)/rampa_rest))*rest_meta</f>
        <v>20</v>
      </c>
      <c r="Z30" s="74" t="n">
        <f aca="false">IF(Z$3&lt;inicio_rest,0,MIN(1,(Z$3-inicio_rest+1)/rampa_rest))*rest_meta</f>
        <v>20</v>
      </c>
      <c r="AA30" s="74" t="n">
        <f aca="false">IF(AA$3&lt;inicio_rest,0,MIN(1,(AA$3-inicio_rest+1)/rampa_rest))*rest_meta</f>
        <v>20</v>
      </c>
      <c r="AB30" s="74" t="n">
        <f aca="false">IF(AB$3&lt;inicio_rest,0,MIN(1,(AB$3-inicio_rest+1)/rampa_rest))*rest_meta</f>
        <v>20</v>
      </c>
      <c r="AC30" s="74" t="n">
        <f aca="false">IF(AC$3&lt;inicio_rest,0,MIN(1,(AC$3-inicio_rest+1)/rampa_rest))*rest_meta</f>
        <v>20</v>
      </c>
      <c r="AD30" s="74" t="n">
        <f aca="false">IF(AD$3&lt;inicio_rest,0,MIN(1,(AD$3-inicio_rest+1)/rampa_rest))*rest_meta</f>
        <v>20</v>
      </c>
      <c r="AE30" s="74" t="n">
        <f aca="false">IF(AE$3&lt;inicio_rest,0,MIN(1,(AE$3-inicio_rest+1)/rampa_rest))*rest_meta</f>
        <v>20</v>
      </c>
      <c r="AF30" s="74" t="n">
        <f aca="false">IF(AF$3&lt;inicio_rest,0,MIN(1,(AF$3-inicio_rest+1)/rampa_rest))*rest_meta</f>
        <v>20</v>
      </c>
      <c r="AG30" s="74" t="n">
        <f aca="false">IF(AG$3&lt;inicio_rest,0,MIN(1,(AG$3-inicio_rest+1)/rampa_rest))*rest_meta</f>
        <v>20</v>
      </c>
      <c r="AH30" s="74" t="n">
        <f aca="false">IF(AH$3&lt;inicio_rest,0,MIN(1,(AH$3-inicio_rest+1)/rampa_rest))*rest_meta</f>
        <v>20</v>
      </c>
      <c r="AI30" s="74" t="n">
        <f aca="false">IF(AI$3&lt;inicio_rest,0,MIN(1,(AI$3-inicio_rest+1)/rampa_rest))*rest_meta</f>
        <v>20</v>
      </c>
      <c r="AJ30" s="74" t="n">
        <f aca="false">IF(AJ$3&lt;inicio_rest,0,MIN(1,(AJ$3-inicio_rest+1)/rampa_rest))*rest_meta</f>
        <v>20</v>
      </c>
      <c r="AK30" s="74" t="n">
        <f aca="false">IF(AK$3&lt;inicio_rest,0,MIN(1,(AK$3-inicio_rest+1)/rampa_rest))*rest_meta</f>
        <v>20</v>
      </c>
      <c r="AL30" s="74" t="n">
        <f aca="false">IF(AL$3&lt;inicio_rest,0,MIN(1,(AL$3-inicio_rest+1)/rampa_rest))*rest_meta</f>
        <v>20</v>
      </c>
    </row>
    <row r="31" customFormat="false" ht="15" hidden="false" customHeight="true" outlineLevel="0" collapsed="false">
      <c r="A31" s="5" t="s">
        <v>777</v>
      </c>
      <c r="B31" s="3" t="s">
        <v>265</v>
      </c>
      <c r="C31" s="22" t="n">
        <f aca="false">C30*mesas_rest*horas_noche*noches_mes/horas_gar</f>
        <v>0</v>
      </c>
      <c r="D31" s="22" t="n">
        <f aca="false">D30*mesas_rest*horas_noche*noches_mes/horas_gar</f>
        <v>0</v>
      </c>
      <c r="E31" s="22" t="n">
        <f aca="false">E30*mesas_rest*horas_noche*noches_mes/horas_gar</f>
        <v>20.6349206349206</v>
      </c>
      <c r="F31" s="22" t="n">
        <f aca="false">F30*mesas_rest*horas_noche*noches_mes/horas_gar</f>
        <v>41.2698412698413</v>
      </c>
      <c r="G31" s="22" t="n">
        <f aca="false">G30*mesas_rest*horas_noche*noches_mes/horas_gar</f>
        <v>61.9047619047619</v>
      </c>
      <c r="H31" s="22" t="n">
        <f aca="false">H30*mesas_rest*horas_noche*noches_mes/horas_gar</f>
        <v>82.5396825396825</v>
      </c>
      <c r="I31" s="22" t="n">
        <f aca="false">I30*mesas_rest*horas_noche*noches_mes/horas_gar</f>
        <v>103.174603174603</v>
      </c>
      <c r="J31" s="22" t="n">
        <f aca="false">J30*mesas_rest*horas_noche*noches_mes/horas_gar</f>
        <v>123.809523809524</v>
      </c>
      <c r="K31" s="22" t="n">
        <f aca="false">K30*mesas_rest*horas_noche*noches_mes/horas_gar</f>
        <v>144.444444444444</v>
      </c>
      <c r="L31" s="22" t="n">
        <f aca="false">L30*mesas_rest*horas_noche*noches_mes/horas_gar</f>
        <v>165.079365079365</v>
      </c>
      <c r="M31" s="22" t="n">
        <f aca="false">M30*mesas_rest*horas_noche*noches_mes/horas_gar</f>
        <v>185.714285714286</v>
      </c>
      <c r="N31" s="22" t="n">
        <f aca="false">N30*mesas_rest*horas_noche*noches_mes/horas_gar</f>
        <v>185.714285714286</v>
      </c>
      <c r="O31" s="22" t="n">
        <f aca="false">O30*mesas_rest*horas_noche*noches_mes/horas_gar</f>
        <v>185.714285714286</v>
      </c>
      <c r="P31" s="22" t="n">
        <f aca="false">P30*mesas_rest*horas_noche*noches_mes/horas_gar</f>
        <v>185.714285714286</v>
      </c>
      <c r="Q31" s="22" t="n">
        <f aca="false">Q30*mesas_rest*horas_noche*noches_mes/horas_gar</f>
        <v>185.714285714286</v>
      </c>
      <c r="R31" s="22" t="n">
        <f aca="false">R30*mesas_rest*horas_noche*noches_mes/horas_gar</f>
        <v>185.714285714286</v>
      </c>
      <c r="S31" s="22" t="n">
        <f aca="false">S30*mesas_rest*horas_noche*noches_mes/horas_gar</f>
        <v>185.714285714286</v>
      </c>
      <c r="T31" s="22" t="n">
        <f aca="false">T30*mesas_rest*horas_noche*noches_mes/horas_gar</f>
        <v>185.714285714286</v>
      </c>
      <c r="U31" s="22" t="n">
        <f aca="false">U30*mesas_rest*horas_noche*noches_mes/horas_gar</f>
        <v>185.714285714286</v>
      </c>
      <c r="V31" s="22" t="n">
        <f aca="false">V30*mesas_rest*horas_noche*noches_mes/horas_gar</f>
        <v>185.714285714286</v>
      </c>
      <c r="W31" s="22" t="n">
        <f aca="false">W30*mesas_rest*horas_noche*noches_mes/horas_gar</f>
        <v>185.714285714286</v>
      </c>
      <c r="X31" s="22" t="n">
        <f aca="false">X30*mesas_rest*horas_noche*noches_mes/horas_gar</f>
        <v>185.714285714286</v>
      </c>
      <c r="Y31" s="22" t="n">
        <f aca="false">Y30*mesas_rest*horas_noche*noches_mes/horas_gar</f>
        <v>185.714285714286</v>
      </c>
      <c r="Z31" s="22" t="n">
        <f aca="false">Z30*mesas_rest*horas_noche*noches_mes/horas_gar</f>
        <v>185.714285714286</v>
      </c>
      <c r="AA31" s="22" t="n">
        <f aca="false">AA30*mesas_rest*horas_noche*noches_mes/horas_gar</f>
        <v>185.714285714286</v>
      </c>
      <c r="AB31" s="22" t="n">
        <f aca="false">AB30*mesas_rest*horas_noche*noches_mes/horas_gar</f>
        <v>185.714285714286</v>
      </c>
      <c r="AC31" s="22" t="n">
        <f aca="false">AC30*mesas_rest*horas_noche*noches_mes/horas_gar</f>
        <v>185.714285714286</v>
      </c>
      <c r="AD31" s="22" t="n">
        <f aca="false">AD30*mesas_rest*horas_noche*noches_mes/horas_gar</f>
        <v>185.714285714286</v>
      </c>
      <c r="AE31" s="22" t="n">
        <f aca="false">AE30*mesas_rest*horas_noche*noches_mes/horas_gar</f>
        <v>185.714285714286</v>
      </c>
      <c r="AF31" s="22" t="n">
        <f aca="false">AF30*mesas_rest*horas_noche*noches_mes/horas_gar</f>
        <v>185.714285714286</v>
      </c>
      <c r="AG31" s="22" t="n">
        <f aca="false">AG30*mesas_rest*horas_noche*noches_mes/horas_gar</f>
        <v>185.714285714286</v>
      </c>
      <c r="AH31" s="22" t="n">
        <f aca="false">AH30*mesas_rest*horas_noche*noches_mes/horas_gar</f>
        <v>185.714285714286</v>
      </c>
      <c r="AI31" s="22" t="n">
        <f aca="false">AI30*mesas_rest*horas_noche*noches_mes/horas_gar</f>
        <v>185.714285714286</v>
      </c>
      <c r="AJ31" s="22" t="n">
        <f aca="false">AJ30*mesas_rest*horas_noche*noches_mes/horas_gar</f>
        <v>185.714285714286</v>
      </c>
      <c r="AK31" s="22" t="n">
        <f aca="false">AK30*mesas_rest*horas_noche*noches_mes/horas_gar</f>
        <v>185.714285714286</v>
      </c>
      <c r="AL31" s="22" t="n">
        <f aca="false">AL30*mesas_rest*horas_noche*noches_mes/horas_gar</f>
        <v>185.714285714286</v>
      </c>
    </row>
    <row r="32" customFormat="false" ht="15" hidden="false" customHeight="true" outlineLevel="0" collapsed="false">
      <c r="A32" s="5" t="s">
        <v>778</v>
      </c>
      <c r="B32" s="3" t="s">
        <v>388</v>
      </c>
      <c r="C32" s="74" t="n">
        <f aca="false">IF(C$3&lt;inicio_recaud,0,IF(C$8=1,campanas_alta,campanas_normal))</f>
        <v>0</v>
      </c>
      <c r="D32" s="74" t="n">
        <f aca="false">IF(D$3&lt;inicio_recaud,0,IF(D$8=1,campanas_alta,campanas_normal))</f>
        <v>4</v>
      </c>
      <c r="E32" s="74" t="n">
        <f aca="false">IF(E$3&lt;inicio_recaud,0,IF(E$8=1,campanas_alta,campanas_normal))</f>
        <v>2</v>
      </c>
      <c r="F32" s="74" t="n">
        <f aca="false">IF(F$3&lt;inicio_recaud,0,IF(F$8=1,campanas_alta,campanas_normal))</f>
        <v>2</v>
      </c>
      <c r="G32" s="74" t="n">
        <f aca="false">IF(G$3&lt;inicio_recaud,0,IF(G$8=1,campanas_alta,campanas_normal))</f>
        <v>2</v>
      </c>
      <c r="H32" s="74" t="n">
        <f aca="false">IF(H$3&lt;inicio_recaud,0,IF(H$8=1,campanas_alta,campanas_normal))</f>
        <v>2</v>
      </c>
      <c r="I32" s="74" t="n">
        <f aca="false">IF(I$3&lt;inicio_recaud,0,IF(I$8=1,campanas_alta,campanas_normal))</f>
        <v>2</v>
      </c>
      <c r="J32" s="74" t="n">
        <f aca="false">IF(J$3&lt;inicio_recaud,0,IF(J$8=1,campanas_alta,campanas_normal))</f>
        <v>2</v>
      </c>
      <c r="K32" s="74" t="n">
        <f aca="false">IF(K$3&lt;inicio_recaud,0,IF(K$8=1,campanas_alta,campanas_normal))</f>
        <v>2</v>
      </c>
      <c r="L32" s="74" t="n">
        <f aca="false">IF(L$3&lt;inicio_recaud,0,IF(L$8=1,campanas_alta,campanas_normal))</f>
        <v>2</v>
      </c>
      <c r="M32" s="74" t="n">
        <f aca="false">IF(M$3&lt;inicio_recaud,0,IF(M$8=1,campanas_alta,campanas_normal))</f>
        <v>2</v>
      </c>
      <c r="N32" s="74" t="n">
        <f aca="false">IF(N$3&lt;inicio_recaud,0,IF(N$8=1,campanas_alta,campanas_normal))</f>
        <v>4</v>
      </c>
      <c r="O32" s="74" t="n">
        <f aca="false">IF(O$3&lt;inicio_recaud,0,IF(O$8=1,campanas_alta,campanas_normal))</f>
        <v>4</v>
      </c>
      <c r="P32" s="74" t="n">
        <f aca="false">IF(P$3&lt;inicio_recaud,0,IF(P$8=1,campanas_alta,campanas_normal))</f>
        <v>4</v>
      </c>
      <c r="Q32" s="74" t="n">
        <f aca="false">IF(Q$3&lt;inicio_recaud,0,IF(Q$8=1,campanas_alta,campanas_normal))</f>
        <v>2</v>
      </c>
      <c r="R32" s="74" t="n">
        <f aca="false">IF(R$3&lt;inicio_recaud,0,IF(R$8=1,campanas_alta,campanas_normal))</f>
        <v>2</v>
      </c>
      <c r="S32" s="74" t="n">
        <f aca="false">IF(S$3&lt;inicio_recaud,0,IF(S$8=1,campanas_alta,campanas_normal))</f>
        <v>2</v>
      </c>
      <c r="T32" s="74" t="n">
        <f aca="false">IF(T$3&lt;inicio_recaud,0,IF(T$8=1,campanas_alta,campanas_normal))</f>
        <v>2</v>
      </c>
      <c r="U32" s="74" t="n">
        <f aca="false">IF(U$3&lt;inicio_recaud,0,IF(U$8=1,campanas_alta,campanas_normal))</f>
        <v>2</v>
      </c>
      <c r="V32" s="74" t="n">
        <f aca="false">IF(V$3&lt;inicio_recaud,0,IF(V$8=1,campanas_alta,campanas_normal))</f>
        <v>2</v>
      </c>
      <c r="W32" s="74" t="n">
        <f aca="false">IF(W$3&lt;inicio_recaud,0,IF(W$8=1,campanas_alta,campanas_normal))</f>
        <v>2</v>
      </c>
      <c r="X32" s="74" t="n">
        <f aca="false">IF(X$3&lt;inicio_recaud,0,IF(X$8=1,campanas_alta,campanas_normal))</f>
        <v>2</v>
      </c>
      <c r="Y32" s="74" t="n">
        <f aca="false">IF(Y$3&lt;inicio_recaud,0,IF(Y$8=1,campanas_alta,campanas_normal))</f>
        <v>2</v>
      </c>
      <c r="Z32" s="74" t="n">
        <f aca="false">IF(Z$3&lt;inicio_recaud,0,IF(Z$8=1,campanas_alta,campanas_normal))</f>
        <v>4</v>
      </c>
      <c r="AA32" s="74" t="n">
        <f aca="false">IF(AA$3&lt;inicio_recaud,0,IF(AA$8=1,campanas_alta,campanas_normal))</f>
        <v>4</v>
      </c>
      <c r="AB32" s="74" t="n">
        <f aca="false">IF(AB$3&lt;inicio_recaud,0,IF(AB$8=1,campanas_alta,campanas_normal))</f>
        <v>4</v>
      </c>
      <c r="AC32" s="74" t="n">
        <f aca="false">IF(AC$3&lt;inicio_recaud,0,IF(AC$8=1,campanas_alta,campanas_normal))</f>
        <v>2</v>
      </c>
      <c r="AD32" s="74" t="n">
        <f aca="false">IF(AD$3&lt;inicio_recaud,0,IF(AD$8=1,campanas_alta,campanas_normal))</f>
        <v>2</v>
      </c>
      <c r="AE32" s="74" t="n">
        <f aca="false">IF(AE$3&lt;inicio_recaud,0,IF(AE$8=1,campanas_alta,campanas_normal))</f>
        <v>2</v>
      </c>
      <c r="AF32" s="74" t="n">
        <f aca="false">IF(AF$3&lt;inicio_recaud,0,IF(AF$8=1,campanas_alta,campanas_normal))</f>
        <v>2</v>
      </c>
      <c r="AG32" s="74" t="n">
        <f aca="false">IF(AG$3&lt;inicio_recaud,0,IF(AG$8=1,campanas_alta,campanas_normal))</f>
        <v>2</v>
      </c>
      <c r="AH32" s="74" t="n">
        <f aca="false">IF(AH$3&lt;inicio_recaud,0,IF(AH$8=1,campanas_alta,campanas_normal))</f>
        <v>2</v>
      </c>
      <c r="AI32" s="74" t="n">
        <f aca="false">IF(AI$3&lt;inicio_recaud,0,IF(AI$8=1,campanas_alta,campanas_normal))</f>
        <v>2</v>
      </c>
      <c r="AJ32" s="74" t="n">
        <f aca="false">IF(AJ$3&lt;inicio_recaud,0,IF(AJ$8=1,campanas_alta,campanas_normal))</f>
        <v>2</v>
      </c>
      <c r="AK32" s="74" t="n">
        <f aca="false">IF(AK$3&lt;inicio_recaud,0,IF(AK$8=1,campanas_alta,campanas_normal))</f>
        <v>2</v>
      </c>
      <c r="AL32" s="74" t="n">
        <f aca="false">IF(AL$3&lt;inicio_recaud,0,IF(AL$8=1,campanas_alta,campanas_normal))</f>
        <v>4</v>
      </c>
    </row>
    <row r="33" customFormat="false" ht="15" hidden="false" customHeight="true" outlineLevel="0" collapsed="false">
      <c r="A33" s="5" t="s">
        <v>779</v>
      </c>
      <c r="B33" s="3" t="s">
        <v>265</v>
      </c>
      <c r="C33" s="22" t="n">
        <f aca="false">C32*pzas_campana</f>
        <v>0</v>
      </c>
      <c r="D33" s="22" t="n">
        <f aca="false">D32*pzas_campana</f>
        <v>600</v>
      </c>
      <c r="E33" s="22" t="n">
        <f aca="false">E32*pzas_campana</f>
        <v>300</v>
      </c>
      <c r="F33" s="22" t="n">
        <f aca="false">F32*pzas_campana</f>
        <v>300</v>
      </c>
      <c r="G33" s="22" t="n">
        <f aca="false">G32*pzas_campana</f>
        <v>300</v>
      </c>
      <c r="H33" s="22" t="n">
        <f aca="false">H32*pzas_campana</f>
        <v>300</v>
      </c>
      <c r="I33" s="22" t="n">
        <f aca="false">I32*pzas_campana</f>
        <v>300</v>
      </c>
      <c r="J33" s="22" t="n">
        <f aca="false">J32*pzas_campana</f>
        <v>300</v>
      </c>
      <c r="K33" s="22" t="n">
        <f aca="false">K32*pzas_campana</f>
        <v>300</v>
      </c>
      <c r="L33" s="22" t="n">
        <f aca="false">L32*pzas_campana</f>
        <v>300</v>
      </c>
      <c r="M33" s="22" t="n">
        <f aca="false">M32*pzas_campana</f>
        <v>300</v>
      </c>
      <c r="N33" s="22" t="n">
        <f aca="false">N32*pzas_campana</f>
        <v>600</v>
      </c>
      <c r="O33" s="22" t="n">
        <f aca="false">O32*pzas_campana</f>
        <v>600</v>
      </c>
      <c r="P33" s="22" t="n">
        <f aca="false">P32*pzas_campana</f>
        <v>600</v>
      </c>
      <c r="Q33" s="22" t="n">
        <f aca="false">Q32*pzas_campana</f>
        <v>300</v>
      </c>
      <c r="R33" s="22" t="n">
        <f aca="false">R32*pzas_campana</f>
        <v>300</v>
      </c>
      <c r="S33" s="22" t="n">
        <f aca="false">S32*pzas_campana</f>
        <v>300</v>
      </c>
      <c r="T33" s="22" t="n">
        <f aca="false">T32*pzas_campana</f>
        <v>300</v>
      </c>
      <c r="U33" s="22" t="n">
        <f aca="false">U32*pzas_campana</f>
        <v>300</v>
      </c>
      <c r="V33" s="22" t="n">
        <f aca="false">V32*pzas_campana</f>
        <v>300</v>
      </c>
      <c r="W33" s="22" t="n">
        <f aca="false">W32*pzas_campana</f>
        <v>300</v>
      </c>
      <c r="X33" s="22" t="n">
        <f aca="false">X32*pzas_campana</f>
        <v>300</v>
      </c>
      <c r="Y33" s="22" t="n">
        <f aca="false">Y32*pzas_campana</f>
        <v>300</v>
      </c>
      <c r="Z33" s="22" t="n">
        <f aca="false">Z32*pzas_campana</f>
        <v>600</v>
      </c>
      <c r="AA33" s="22" t="n">
        <f aca="false">AA32*pzas_campana</f>
        <v>600</v>
      </c>
      <c r="AB33" s="22" t="n">
        <f aca="false">AB32*pzas_campana</f>
        <v>600</v>
      </c>
      <c r="AC33" s="22" t="n">
        <f aca="false">AC32*pzas_campana</f>
        <v>300</v>
      </c>
      <c r="AD33" s="22" t="n">
        <f aca="false">AD32*pzas_campana</f>
        <v>300</v>
      </c>
      <c r="AE33" s="22" t="n">
        <f aca="false">AE32*pzas_campana</f>
        <v>300</v>
      </c>
      <c r="AF33" s="22" t="n">
        <f aca="false">AF32*pzas_campana</f>
        <v>300</v>
      </c>
      <c r="AG33" s="22" t="n">
        <f aca="false">AG32*pzas_campana</f>
        <v>300</v>
      </c>
      <c r="AH33" s="22" t="n">
        <f aca="false">AH32*pzas_campana</f>
        <v>300</v>
      </c>
      <c r="AI33" s="22" t="n">
        <f aca="false">AI32*pzas_campana</f>
        <v>300</v>
      </c>
      <c r="AJ33" s="22" t="n">
        <f aca="false">AJ32*pzas_campana</f>
        <v>300</v>
      </c>
      <c r="AK33" s="22" t="n">
        <f aca="false">AK32*pzas_campana</f>
        <v>300</v>
      </c>
      <c r="AL33" s="22" t="n">
        <f aca="false">AL32*pzas_campana</f>
        <v>600</v>
      </c>
    </row>
    <row r="34" customFormat="false" ht="15" hidden="false" customHeight="true" outlineLevel="0" collapsed="false">
      <c r="A34" s="5" t="s">
        <v>780</v>
      </c>
      <c r="B34" s="3" t="s">
        <v>397</v>
      </c>
      <c r="C34" s="74" t="n">
        <f aca="false">IF(OR(C$5=11,C$5=12),pedidos_corp,0)</f>
        <v>5</v>
      </c>
      <c r="D34" s="74" t="n">
        <f aca="false">IF(OR(D$5=11,D$5=12),pedidos_corp,0)</f>
        <v>5</v>
      </c>
      <c r="E34" s="74" t="n">
        <f aca="false">IF(OR(E$5=11,E$5=12),pedidos_corp,0)</f>
        <v>0</v>
      </c>
      <c r="F34" s="74" t="n">
        <f aca="false">IF(OR(F$5=11,F$5=12),pedidos_corp,0)</f>
        <v>0</v>
      </c>
      <c r="G34" s="74" t="n">
        <f aca="false">IF(OR(G$5=11,G$5=12),pedidos_corp,0)</f>
        <v>0</v>
      </c>
      <c r="H34" s="74" t="n">
        <f aca="false">IF(OR(H$5=11,H$5=12),pedidos_corp,0)</f>
        <v>0</v>
      </c>
      <c r="I34" s="74" t="n">
        <f aca="false">IF(OR(I$5=11,I$5=12),pedidos_corp,0)</f>
        <v>0</v>
      </c>
      <c r="J34" s="74" t="n">
        <f aca="false">IF(OR(J$5=11,J$5=12),pedidos_corp,0)</f>
        <v>0</v>
      </c>
      <c r="K34" s="74" t="n">
        <f aca="false">IF(OR(K$5=11,K$5=12),pedidos_corp,0)</f>
        <v>0</v>
      </c>
      <c r="L34" s="74" t="n">
        <f aca="false">IF(OR(L$5=11,L$5=12),pedidos_corp,0)</f>
        <v>0</v>
      </c>
      <c r="M34" s="74" t="n">
        <f aca="false">IF(OR(M$5=11,M$5=12),pedidos_corp,0)</f>
        <v>0</v>
      </c>
      <c r="N34" s="74" t="n">
        <f aca="false">IF(OR(N$5=11,N$5=12),pedidos_corp,0)</f>
        <v>0</v>
      </c>
      <c r="O34" s="74" t="n">
        <f aca="false">IF(OR(O$5=11,O$5=12),pedidos_corp,0)</f>
        <v>5</v>
      </c>
      <c r="P34" s="74" t="n">
        <f aca="false">IF(OR(P$5=11,P$5=12),pedidos_corp,0)</f>
        <v>5</v>
      </c>
      <c r="Q34" s="74" t="n">
        <f aca="false">IF(OR(Q$5=11,Q$5=12),pedidos_corp,0)</f>
        <v>0</v>
      </c>
      <c r="R34" s="74" t="n">
        <f aca="false">IF(OR(R$5=11,R$5=12),pedidos_corp,0)</f>
        <v>0</v>
      </c>
      <c r="S34" s="74" t="n">
        <f aca="false">IF(OR(S$5=11,S$5=12),pedidos_corp,0)</f>
        <v>0</v>
      </c>
      <c r="T34" s="74" t="n">
        <f aca="false">IF(OR(T$5=11,T$5=12),pedidos_corp,0)</f>
        <v>0</v>
      </c>
      <c r="U34" s="74" t="n">
        <f aca="false">IF(OR(U$5=11,U$5=12),pedidos_corp,0)</f>
        <v>0</v>
      </c>
      <c r="V34" s="74" t="n">
        <f aca="false">IF(OR(V$5=11,V$5=12),pedidos_corp,0)</f>
        <v>0</v>
      </c>
      <c r="W34" s="74" t="n">
        <f aca="false">IF(OR(W$5=11,W$5=12),pedidos_corp,0)</f>
        <v>0</v>
      </c>
      <c r="X34" s="74" t="n">
        <f aca="false">IF(OR(X$5=11,X$5=12),pedidos_corp,0)</f>
        <v>0</v>
      </c>
      <c r="Y34" s="74" t="n">
        <f aca="false">IF(OR(Y$5=11,Y$5=12),pedidos_corp,0)</f>
        <v>0</v>
      </c>
      <c r="Z34" s="74" t="n">
        <f aca="false">IF(OR(Z$5=11,Z$5=12),pedidos_corp,0)</f>
        <v>0</v>
      </c>
      <c r="AA34" s="74" t="n">
        <f aca="false">IF(OR(AA$5=11,AA$5=12),pedidos_corp,0)</f>
        <v>5</v>
      </c>
      <c r="AB34" s="74" t="n">
        <f aca="false">IF(OR(AB$5=11,AB$5=12),pedidos_corp,0)</f>
        <v>5</v>
      </c>
      <c r="AC34" s="74" t="n">
        <f aca="false">IF(OR(AC$5=11,AC$5=12),pedidos_corp,0)</f>
        <v>0</v>
      </c>
      <c r="AD34" s="74" t="n">
        <f aca="false">IF(OR(AD$5=11,AD$5=12),pedidos_corp,0)</f>
        <v>0</v>
      </c>
      <c r="AE34" s="74" t="n">
        <f aca="false">IF(OR(AE$5=11,AE$5=12),pedidos_corp,0)</f>
        <v>0</v>
      </c>
      <c r="AF34" s="74" t="n">
        <f aca="false">IF(OR(AF$5=11,AF$5=12),pedidos_corp,0)</f>
        <v>0</v>
      </c>
      <c r="AG34" s="74" t="n">
        <f aca="false">IF(OR(AG$5=11,AG$5=12),pedidos_corp,0)</f>
        <v>0</v>
      </c>
      <c r="AH34" s="74" t="n">
        <f aca="false">IF(OR(AH$5=11,AH$5=12),pedidos_corp,0)</f>
        <v>0</v>
      </c>
      <c r="AI34" s="74" t="n">
        <f aca="false">IF(OR(AI$5=11,AI$5=12),pedidos_corp,0)</f>
        <v>0</v>
      </c>
      <c r="AJ34" s="74" t="n">
        <f aca="false">IF(OR(AJ$5=11,AJ$5=12),pedidos_corp,0)</f>
        <v>0</v>
      </c>
      <c r="AK34" s="74" t="n">
        <f aca="false">IF(OR(AK$5=11,AK$5=12),pedidos_corp,0)</f>
        <v>0</v>
      </c>
      <c r="AL34" s="74" t="n">
        <f aca="false">IF(OR(AL$5=11,AL$5=12),pedidos_corp,0)</f>
        <v>0</v>
      </c>
    </row>
    <row r="35" customFormat="false" ht="15" hidden="false" customHeight="true" outlineLevel="0" collapsed="false">
      <c r="A35" s="5" t="s">
        <v>781</v>
      </c>
      <c r="B35" s="3" t="s">
        <v>265</v>
      </c>
      <c r="C35" s="22" t="n">
        <f aca="false">C34*pzas_pedido_corp</f>
        <v>600</v>
      </c>
      <c r="D35" s="22" t="n">
        <f aca="false">D34*pzas_pedido_corp</f>
        <v>600</v>
      </c>
      <c r="E35" s="22" t="n">
        <f aca="false">E34*pzas_pedido_corp</f>
        <v>0</v>
      </c>
      <c r="F35" s="22" t="n">
        <f aca="false">F34*pzas_pedido_corp</f>
        <v>0</v>
      </c>
      <c r="G35" s="22" t="n">
        <f aca="false">G34*pzas_pedido_corp</f>
        <v>0</v>
      </c>
      <c r="H35" s="22" t="n">
        <f aca="false">H34*pzas_pedido_corp</f>
        <v>0</v>
      </c>
      <c r="I35" s="22" t="n">
        <f aca="false">I34*pzas_pedido_corp</f>
        <v>0</v>
      </c>
      <c r="J35" s="22" t="n">
        <f aca="false">J34*pzas_pedido_corp</f>
        <v>0</v>
      </c>
      <c r="K35" s="22" t="n">
        <f aca="false">K34*pzas_pedido_corp</f>
        <v>0</v>
      </c>
      <c r="L35" s="22" t="n">
        <f aca="false">L34*pzas_pedido_corp</f>
        <v>0</v>
      </c>
      <c r="M35" s="22" t="n">
        <f aca="false">M34*pzas_pedido_corp</f>
        <v>0</v>
      </c>
      <c r="N35" s="22" t="n">
        <f aca="false">N34*pzas_pedido_corp</f>
        <v>0</v>
      </c>
      <c r="O35" s="22" t="n">
        <f aca="false">O34*pzas_pedido_corp</f>
        <v>600</v>
      </c>
      <c r="P35" s="22" t="n">
        <f aca="false">P34*pzas_pedido_corp</f>
        <v>600</v>
      </c>
      <c r="Q35" s="22" t="n">
        <f aca="false">Q34*pzas_pedido_corp</f>
        <v>0</v>
      </c>
      <c r="R35" s="22" t="n">
        <f aca="false">R34*pzas_pedido_corp</f>
        <v>0</v>
      </c>
      <c r="S35" s="22" t="n">
        <f aca="false">S34*pzas_pedido_corp</f>
        <v>0</v>
      </c>
      <c r="T35" s="22" t="n">
        <f aca="false">T34*pzas_pedido_corp</f>
        <v>0</v>
      </c>
      <c r="U35" s="22" t="n">
        <f aca="false">U34*pzas_pedido_corp</f>
        <v>0</v>
      </c>
      <c r="V35" s="22" t="n">
        <f aca="false">V34*pzas_pedido_corp</f>
        <v>0</v>
      </c>
      <c r="W35" s="22" t="n">
        <f aca="false">W34*pzas_pedido_corp</f>
        <v>0</v>
      </c>
      <c r="X35" s="22" t="n">
        <f aca="false">X34*pzas_pedido_corp</f>
        <v>0</v>
      </c>
      <c r="Y35" s="22" t="n">
        <f aca="false">Y34*pzas_pedido_corp</f>
        <v>0</v>
      </c>
      <c r="Z35" s="22" t="n">
        <f aca="false">Z34*pzas_pedido_corp</f>
        <v>0</v>
      </c>
      <c r="AA35" s="22" t="n">
        <f aca="false">AA34*pzas_pedido_corp</f>
        <v>600</v>
      </c>
      <c r="AB35" s="22" t="n">
        <f aca="false">AB34*pzas_pedido_corp</f>
        <v>600</v>
      </c>
      <c r="AC35" s="22" t="n">
        <f aca="false">AC34*pzas_pedido_corp</f>
        <v>0</v>
      </c>
      <c r="AD35" s="22" t="n">
        <f aca="false">AD34*pzas_pedido_corp</f>
        <v>0</v>
      </c>
      <c r="AE35" s="22" t="n">
        <f aca="false">AE34*pzas_pedido_corp</f>
        <v>0</v>
      </c>
      <c r="AF35" s="22" t="n">
        <f aca="false">AF34*pzas_pedido_corp</f>
        <v>0</v>
      </c>
      <c r="AG35" s="22" t="n">
        <f aca="false">AG34*pzas_pedido_corp</f>
        <v>0</v>
      </c>
      <c r="AH35" s="22" t="n">
        <f aca="false">AH34*pzas_pedido_corp</f>
        <v>0</v>
      </c>
      <c r="AI35" s="22" t="n">
        <f aca="false">AI34*pzas_pedido_corp</f>
        <v>0</v>
      </c>
      <c r="AJ35" s="22" t="n">
        <f aca="false">AJ34*pzas_pedido_corp</f>
        <v>0</v>
      </c>
      <c r="AK35" s="22" t="n">
        <f aca="false">AK34*pzas_pedido_corp</f>
        <v>0</v>
      </c>
      <c r="AL35" s="22" t="n">
        <f aca="false">AL34*pzas_pedido_corp</f>
        <v>0</v>
      </c>
    </row>
    <row r="36" customFormat="false" ht="15" hidden="false" customHeight="true" outlineLevel="0" collapsed="false">
      <c r="A36" s="5" t="s">
        <v>782</v>
      </c>
      <c r="B36" s="3" t="s">
        <v>265</v>
      </c>
      <c r="C36" s="22" t="n">
        <f aca="false">IF(C$3&lt;inicio_prem,0,unid_prem*C$7)</f>
        <v>0</v>
      </c>
      <c r="D36" s="22" t="n">
        <f aca="false">IF(D$3&lt;inicio_prem,0,unid_prem*D$7)</f>
        <v>0</v>
      </c>
      <c r="E36" s="22" t="n">
        <f aca="false">IF(E$3&lt;inicio_prem,0,unid_prem*E$7)</f>
        <v>0</v>
      </c>
      <c r="F36" s="22" t="n">
        <f aca="false">IF(F$3&lt;inicio_prem,0,unid_prem*F$7)</f>
        <v>31.875</v>
      </c>
      <c r="G36" s="22" t="n">
        <f aca="false">IF(G$3&lt;inicio_prem,0,unid_prem*G$7)</f>
        <v>35.625</v>
      </c>
      <c r="H36" s="22" t="n">
        <f aca="false">IF(H$3&lt;inicio_prem,0,unid_prem*H$7)</f>
        <v>37.5</v>
      </c>
      <c r="I36" s="22" t="n">
        <f aca="false">IF(I$3&lt;inicio_prem,0,unid_prem*I$7)</f>
        <v>35.625</v>
      </c>
      <c r="J36" s="22" t="n">
        <f aca="false">IF(J$3&lt;inicio_prem,0,unid_prem*J$7)</f>
        <v>30</v>
      </c>
      <c r="K36" s="22" t="n">
        <f aca="false">IF(K$3&lt;inicio_prem,0,unid_prem*K$7)</f>
        <v>30</v>
      </c>
      <c r="L36" s="22" t="n">
        <f aca="false">IF(L$3&lt;inicio_prem,0,unid_prem*L$7)</f>
        <v>30</v>
      </c>
      <c r="M36" s="22" t="n">
        <f aca="false">IF(M$3&lt;inicio_prem,0,unid_prem*M$7)</f>
        <v>31.875</v>
      </c>
      <c r="N36" s="22" t="n">
        <f aca="false">IF(N$3&lt;inicio_prem,0,unid_prem*N$7)</f>
        <v>60</v>
      </c>
      <c r="O36" s="22" t="n">
        <f aca="false">IF(O$3&lt;inicio_prem,0,unid_prem*O$7)</f>
        <v>71.25</v>
      </c>
      <c r="P36" s="22" t="n">
        <f aca="false">IF(P$3&lt;inicio_prem,0,unid_prem*P$7)</f>
        <v>56.25</v>
      </c>
      <c r="Q36" s="22" t="n">
        <f aca="false">IF(Q$3&lt;inicio_prem,0,unid_prem*Q$7)</f>
        <v>30</v>
      </c>
      <c r="R36" s="22" t="n">
        <f aca="false">IF(R$3&lt;inicio_prem,0,unid_prem*R$7)</f>
        <v>31.875</v>
      </c>
      <c r="S36" s="22" t="n">
        <f aca="false">IF(S$3&lt;inicio_prem,0,unid_prem*S$7)</f>
        <v>35.625</v>
      </c>
      <c r="T36" s="22" t="n">
        <f aca="false">IF(T$3&lt;inicio_prem,0,unid_prem*T$7)</f>
        <v>37.5</v>
      </c>
      <c r="U36" s="22" t="n">
        <f aca="false">IF(U$3&lt;inicio_prem,0,unid_prem*U$7)</f>
        <v>35.625</v>
      </c>
      <c r="V36" s="22" t="n">
        <f aca="false">IF(V$3&lt;inicio_prem,0,unid_prem*V$7)</f>
        <v>30</v>
      </c>
      <c r="W36" s="22" t="n">
        <f aca="false">IF(W$3&lt;inicio_prem,0,unid_prem*W$7)</f>
        <v>30</v>
      </c>
      <c r="X36" s="22" t="n">
        <f aca="false">IF(X$3&lt;inicio_prem,0,unid_prem*X$7)</f>
        <v>30</v>
      </c>
      <c r="Y36" s="22" t="n">
        <f aca="false">IF(Y$3&lt;inicio_prem,0,unid_prem*Y$7)</f>
        <v>31.875</v>
      </c>
      <c r="Z36" s="22" t="n">
        <f aca="false">IF(Z$3&lt;inicio_prem,0,unid_prem*Z$7)</f>
        <v>60</v>
      </c>
      <c r="AA36" s="22" t="n">
        <f aca="false">IF(AA$3&lt;inicio_prem,0,unid_prem*AA$7)</f>
        <v>71.25</v>
      </c>
      <c r="AB36" s="22" t="n">
        <f aca="false">IF(AB$3&lt;inicio_prem,0,unid_prem*AB$7)</f>
        <v>56.25</v>
      </c>
      <c r="AC36" s="22" t="n">
        <f aca="false">IF(AC$3&lt;inicio_prem,0,unid_prem*AC$7)</f>
        <v>30</v>
      </c>
      <c r="AD36" s="22" t="n">
        <f aca="false">IF(AD$3&lt;inicio_prem,0,unid_prem*AD$7)</f>
        <v>31.875</v>
      </c>
      <c r="AE36" s="22" t="n">
        <f aca="false">IF(AE$3&lt;inicio_prem,0,unid_prem*AE$7)</f>
        <v>35.625</v>
      </c>
      <c r="AF36" s="22" t="n">
        <f aca="false">IF(AF$3&lt;inicio_prem,0,unid_prem*AF$7)</f>
        <v>37.5</v>
      </c>
      <c r="AG36" s="22" t="n">
        <f aca="false">IF(AG$3&lt;inicio_prem,0,unid_prem*AG$7)</f>
        <v>35.625</v>
      </c>
      <c r="AH36" s="22" t="n">
        <f aca="false">IF(AH$3&lt;inicio_prem,0,unid_prem*AH$7)</f>
        <v>30</v>
      </c>
      <c r="AI36" s="22" t="n">
        <f aca="false">IF(AI$3&lt;inicio_prem,0,unid_prem*AI$7)</f>
        <v>30</v>
      </c>
      <c r="AJ36" s="22" t="n">
        <f aca="false">IF(AJ$3&lt;inicio_prem,0,unid_prem*AJ$7)</f>
        <v>30</v>
      </c>
      <c r="AK36" s="22" t="n">
        <f aca="false">IF(AK$3&lt;inicio_prem,0,unid_prem*AK$7)</f>
        <v>31.875</v>
      </c>
      <c r="AL36" s="22" t="n">
        <f aca="false">IF(AL$3&lt;inicio_prem,0,unid_prem*AL$7)</f>
        <v>60</v>
      </c>
    </row>
    <row r="37" customFormat="false" ht="15" hidden="false" customHeight="true" outlineLevel="0" collapsed="false">
      <c r="A37" s="5" t="s">
        <v>783</v>
      </c>
      <c r="B37" s="3" t="s">
        <v>265</v>
      </c>
      <c r="C37" s="22" t="n">
        <f aca="false">IF(C$3&lt;inicio_prem+2,0,unid_rec_prem)</f>
        <v>0</v>
      </c>
      <c r="D37" s="22" t="n">
        <f aca="false">IF(D$3&lt;inicio_prem+2,0,unid_rec_prem)</f>
        <v>0</v>
      </c>
      <c r="E37" s="22" t="n">
        <f aca="false">IF(E$3&lt;inicio_prem+2,0,unid_rec_prem)</f>
        <v>0</v>
      </c>
      <c r="F37" s="22" t="n">
        <f aca="false">IF(F$3&lt;inicio_prem+2,0,unid_rec_prem)</f>
        <v>0</v>
      </c>
      <c r="G37" s="22" t="n">
        <f aca="false">IF(G$3&lt;inicio_prem+2,0,unid_rec_prem)</f>
        <v>0</v>
      </c>
      <c r="H37" s="22" t="n">
        <f aca="false">IF(H$3&lt;inicio_prem+2,0,unid_rec_prem)</f>
        <v>25</v>
      </c>
      <c r="I37" s="22" t="n">
        <f aca="false">IF(I$3&lt;inicio_prem+2,0,unid_rec_prem)</f>
        <v>25</v>
      </c>
      <c r="J37" s="22" t="n">
        <f aca="false">IF(J$3&lt;inicio_prem+2,0,unid_rec_prem)</f>
        <v>25</v>
      </c>
      <c r="K37" s="22" t="n">
        <f aca="false">IF(K$3&lt;inicio_prem+2,0,unid_rec_prem)</f>
        <v>25</v>
      </c>
      <c r="L37" s="22" t="n">
        <f aca="false">IF(L$3&lt;inicio_prem+2,0,unid_rec_prem)</f>
        <v>25</v>
      </c>
      <c r="M37" s="22" t="n">
        <f aca="false">IF(M$3&lt;inicio_prem+2,0,unid_rec_prem)</f>
        <v>25</v>
      </c>
      <c r="N37" s="22" t="n">
        <f aca="false">IF(N$3&lt;inicio_prem+2,0,unid_rec_prem)</f>
        <v>25</v>
      </c>
      <c r="O37" s="22" t="n">
        <f aca="false">IF(O$3&lt;inicio_prem+2,0,unid_rec_prem)</f>
        <v>25</v>
      </c>
      <c r="P37" s="22" t="n">
        <f aca="false">IF(P$3&lt;inicio_prem+2,0,unid_rec_prem)</f>
        <v>25</v>
      </c>
      <c r="Q37" s="22" t="n">
        <f aca="false">IF(Q$3&lt;inicio_prem+2,0,unid_rec_prem)</f>
        <v>25</v>
      </c>
      <c r="R37" s="22" t="n">
        <f aca="false">IF(R$3&lt;inicio_prem+2,0,unid_rec_prem)</f>
        <v>25</v>
      </c>
      <c r="S37" s="22" t="n">
        <f aca="false">IF(S$3&lt;inicio_prem+2,0,unid_rec_prem)</f>
        <v>25</v>
      </c>
      <c r="T37" s="22" t="n">
        <f aca="false">IF(T$3&lt;inicio_prem+2,0,unid_rec_prem)</f>
        <v>25</v>
      </c>
      <c r="U37" s="22" t="n">
        <f aca="false">IF(U$3&lt;inicio_prem+2,0,unid_rec_prem)</f>
        <v>25</v>
      </c>
      <c r="V37" s="22" t="n">
        <f aca="false">IF(V$3&lt;inicio_prem+2,0,unid_rec_prem)</f>
        <v>25</v>
      </c>
      <c r="W37" s="22" t="n">
        <f aca="false">IF(W$3&lt;inicio_prem+2,0,unid_rec_prem)</f>
        <v>25</v>
      </c>
      <c r="X37" s="22" t="n">
        <f aca="false">IF(X$3&lt;inicio_prem+2,0,unid_rec_prem)</f>
        <v>25</v>
      </c>
      <c r="Y37" s="22" t="n">
        <f aca="false">IF(Y$3&lt;inicio_prem+2,0,unid_rec_prem)</f>
        <v>25</v>
      </c>
      <c r="Z37" s="22" t="n">
        <f aca="false">IF(Z$3&lt;inicio_prem+2,0,unid_rec_prem)</f>
        <v>25</v>
      </c>
      <c r="AA37" s="22" t="n">
        <f aca="false">IF(AA$3&lt;inicio_prem+2,0,unid_rec_prem)</f>
        <v>25</v>
      </c>
      <c r="AB37" s="22" t="n">
        <f aca="false">IF(AB$3&lt;inicio_prem+2,0,unid_rec_prem)</f>
        <v>25</v>
      </c>
      <c r="AC37" s="22" t="n">
        <f aca="false">IF(AC$3&lt;inicio_prem+2,0,unid_rec_prem)</f>
        <v>25</v>
      </c>
      <c r="AD37" s="22" t="n">
        <f aca="false">IF(AD$3&lt;inicio_prem+2,0,unid_rec_prem)</f>
        <v>25</v>
      </c>
      <c r="AE37" s="22" t="n">
        <f aca="false">IF(AE$3&lt;inicio_prem+2,0,unid_rec_prem)</f>
        <v>25</v>
      </c>
      <c r="AF37" s="22" t="n">
        <f aca="false">IF(AF$3&lt;inicio_prem+2,0,unid_rec_prem)</f>
        <v>25</v>
      </c>
      <c r="AG37" s="22" t="n">
        <f aca="false">IF(AG$3&lt;inicio_prem+2,0,unid_rec_prem)</f>
        <v>25</v>
      </c>
      <c r="AH37" s="22" t="n">
        <f aca="false">IF(AH$3&lt;inicio_prem+2,0,unid_rec_prem)</f>
        <v>25</v>
      </c>
      <c r="AI37" s="22" t="n">
        <f aca="false">IF(AI$3&lt;inicio_prem+2,0,unid_rec_prem)</f>
        <v>25</v>
      </c>
      <c r="AJ37" s="22" t="n">
        <f aca="false">IF(AJ$3&lt;inicio_prem+2,0,unid_rec_prem)</f>
        <v>25</v>
      </c>
      <c r="AK37" s="22" t="n">
        <f aca="false">IF(AK$3&lt;inicio_prem+2,0,unid_rec_prem)</f>
        <v>25</v>
      </c>
      <c r="AL37" s="22" t="n">
        <f aca="false">IF(AL$3&lt;inicio_prem+2,0,unid_rec_prem)</f>
        <v>25</v>
      </c>
    </row>
    <row r="38" customFormat="false" ht="15" hidden="false" customHeight="true" outlineLevel="0" collapsed="false">
      <c r="A38" s="5" t="s">
        <v>784</v>
      </c>
      <c r="B38" s="3" t="s">
        <v>397</v>
      </c>
      <c r="C38" s="22" t="n">
        <f aca="false">IF(C$3&lt;inicio_ins,0,MIN(1,(C$3-inicio_ins+1)/rampa_ins))*pedidos_ins_meta</f>
        <v>0</v>
      </c>
      <c r="D38" s="22" t="n">
        <f aca="false">IF(D$3&lt;inicio_ins,0,MIN(1,(D$3-inicio_ins+1)/rampa_ins))*pedidos_ins_meta</f>
        <v>31.25</v>
      </c>
      <c r="E38" s="22" t="n">
        <f aca="false">IF(E$3&lt;inicio_ins,0,MIN(1,(E$3-inicio_ins+1)/rampa_ins))*pedidos_ins_meta</f>
        <v>62.5</v>
      </c>
      <c r="F38" s="22" t="n">
        <f aca="false">IF(F$3&lt;inicio_ins,0,MIN(1,(F$3-inicio_ins+1)/rampa_ins))*pedidos_ins_meta</f>
        <v>93.75</v>
      </c>
      <c r="G38" s="22" t="n">
        <f aca="false">IF(G$3&lt;inicio_ins,0,MIN(1,(G$3-inicio_ins+1)/rampa_ins))*pedidos_ins_meta</f>
        <v>125</v>
      </c>
      <c r="H38" s="22" t="n">
        <f aca="false">IF(H$3&lt;inicio_ins,0,MIN(1,(H$3-inicio_ins+1)/rampa_ins))*pedidos_ins_meta</f>
        <v>156.25</v>
      </c>
      <c r="I38" s="22" t="n">
        <f aca="false">IF(I$3&lt;inicio_ins,0,MIN(1,(I$3-inicio_ins+1)/rampa_ins))*pedidos_ins_meta</f>
        <v>187.5</v>
      </c>
      <c r="J38" s="22" t="n">
        <f aca="false">IF(J$3&lt;inicio_ins,0,MIN(1,(J$3-inicio_ins+1)/rampa_ins))*pedidos_ins_meta</f>
        <v>218.75</v>
      </c>
      <c r="K38" s="22" t="n">
        <f aca="false">IF(K$3&lt;inicio_ins,0,MIN(1,(K$3-inicio_ins+1)/rampa_ins))*pedidos_ins_meta</f>
        <v>250</v>
      </c>
      <c r="L38" s="22" t="n">
        <f aca="false">IF(L$3&lt;inicio_ins,0,MIN(1,(L$3-inicio_ins+1)/rampa_ins))*pedidos_ins_meta</f>
        <v>250</v>
      </c>
      <c r="M38" s="22" t="n">
        <f aca="false">IF(M$3&lt;inicio_ins,0,MIN(1,(M$3-inicio_ins+1)/rampa_ins))*pedidos_ins_meta</f>
        <v>250</v>
      </c>
      <c r="N38" s="22" t="n">
        <f aca="false">IF(N$3&lt;inicio_ins,0,MIN(1,(N$3-inicio_ins+1)/rampa_ins))*pedidos_ins_meta</f>
        <v>250</v>
      </c>
      <c r="O38" s="22" t="n">
        <f aca="false">IF(O$3&lt;inicio_ins,0,MIN(1,(O$3-inicio_ins+1)/rampa_ins))*pedidos_ins_meta</f>
        <v>250</v>
      </c>
      <c r="P38" s="22" t="n">
        <f aca="false">IF(P$3&lt;inicio_ins,0,MIN(1,(P$3-inicio_ins+1)/rampa_ins))*pedidos_ins_meta</f>
        <v>250</v>
      </c>
      <c r="Q38" s="22" t="n">
        <f aca="false">IF(Q$3&lt;inicio_ins,0,MIN(1,(Q$3-inicio_ins+1)/rampa_ins))*pedidos_ins_meta</f>
        <v>250</v>
      </c>
      <c r="R38" s="22" t="n">
        <f aca="false">IF(R$3&lt;inicio_ins,0,MIN(1,(R$3-inicio_ins+1)/rampa_ins))*pedidos_ins_meta</f>
        <v>250</v>
      </c>
      <c r="S38" s="22" t="n">
        <f aca="false">IF(S$3&lt;inicio_ins,0,MIN(1,(S$3-inicio_ins+1)/rampa_ins))*pedidos_ins_meta</f>
        <v>250</v>
      </c>
      <c r="T38" s="22" t="n">
        <f aca="false">IF(T$3&lt;inicio_ins,0,MIN(1,(T$3-inicio_ins+1)/rampa_ins))*pedidos_ins_meta</f>
        <v>250</v>
      </c>
      <c r="U38" s="22" t="n">
        <f aca="false">IF(U$3&lt;inicio_ins,0,MIN(1,(U$3-inicio_ins+1)/rampa_ins))*pedidos_ins_meta</f>
        <v>250</v>
      </c>
      <c r="V38" s="22" t="n">
        <f aca="false">IF(V$3&lt;inicio_ins,0,MIN(1,(V$3-inicio_ins+1)/rampa_ins))*pedidos_ins_meta</f>
        <v>250</v>
      </c>
      <c r="W38" s="22" t="n">
        <f aca="false">IF(W$3&lt;inicio_ins,0,MIN(1,(W$3-inicio_ins+1)/rampa_ins))*pedidos_ins_meta</f>
        <v>250</v>
      </c>
      <c r="X38" s="22" t="n">
        <f aca="false">IF(X$3&lt;inicio_ins,0,MIN(1,(X$3-inicio_ins+1)/rampa_ins))*pedidos_ins_meta</f>
        <v>250</v>
      </c>
      <c r="Y38" s="22" t="n">
        <f aca="false">IF(Y$3&lt;inicio_ins,0,MIN(1,(Y$3-inicio_ins+1)/rampa_ins))*pedidos_ins_meta</f>
        <v>250</v>
      </c>
      <c r="Z38" s="22" t="n">
        <f aca="false">IF(Z$3&lt;inicio_ins,0,MIN(1,(Z$3-inicio_ins+1)/rampa_ins))*pedidos_ins_meta</f>
        <v>250</v>
      </c>
      <c r="AA38" s="22" t="n">
        <f aca="false">IF(AA$3&lt;inicio_ins,0,MIN(1,(AA$3-inicio_ins+1)/rampa_ins))*pedidos_ins_meta</f>
        <v>250</v>
      </c>
      <c r="AB38" s="22" t="n">
        <f aca="false">IF(AB$3&lt;inicio_ins,0,MIN(1,(AB$3-inicio_ins+1)/rampa_ins))*pedidos_ins_meta</f>
        <v>250</v>
      </c>
      <c r="AC38" s="22" t="n">
        <f aca="false">IF(AC$3&lt;inicio_ins,0,MIN(1,(AC$3-inicio_ins+1)/rampa_ins))*pedidos_ins_meta</f>
        <v>250</v>
      </c>
      <c r="AD38" s="22" t="n">
        <f aca="false">IF(AD$3&lt;inicio_ins,0,MIN(1,(AD$3-inicio_ins+1)/rampa_ins))*pedidos_ins_meta</f>
        <v>250</v>
      </c>
      <c r="AE38" s="22" t="n">
        <f aca="false">IF(AE$3&lt;inicio_ins,0,MIN(1,(AE$3-inicio_ins+1)/rampa_ins))*pedidos_ins_meta</f>
        <v>250</v>
      </c>
      <c r="AF38" s="22" t="n">
        <f aca="false">IF(AF$3&lt;inicio_ins,0,MIN(1,(AF$3-inicio_ins+1)/rampa_ins))*pedidos_ins_meta</f>
        <v>250</v>
      </c>
      <c r="AG38" s="22" t="n">
        <f aca="false">IF(AG$3&lt;inicio_ins,0,MIN(1,(AG$3-inicio_ins+1)/rampa_ins))*pedidos_ins_meta</f>
        <v>250</v>
      </c>
      <c r="AH38" s="22" t="n">
        <f aca="false">IF(AH$3&lt;inicio_ins,0,MIN(1,(AH$3-inicio_ins+1)/rampa_ins))*pedidos_ins_meta</f>
        <v>250</v>
      </c>
      <c r="AI38" s="22" t="n">
        <f aca="false">IF(AI$3&lt;inicio_ins,0,MIN(1,(AI$3-inicio_ins+1)/rampa_ins))*pedidos_ins_meta</f>
        <v>250</v>
      </c>
      <c r="AJ38" s="22" t="n">
        <f aca="false">IF(AJ$3&lt;inicio_ins,0,MIN(1,(AJ$3-inicio_ins+1)/rampa_ins))*pedidos_ins_meta</f>
        <v>250</v>
      </c>
      <c r="AK38" s="22" t="n">
        <f aca="false">IF(AK$3&lt;inicio_ins,0,MIN(1,(AK$3-inicio_ins+1)/rampa_ins))*pedidos_ins_meta</f>
        <v>250</v>
      </c>
      <c r="AL38" s="22" t="n">
        <f aca="false">IF(AL$3&lt;inicio_ins,0,MIN(1,(AL$3-inicio_ins+1)/rampa_ins))*pedidos_ins_meta</f>
        <v>250</v>
      </c>
    </row>
    <row r="39" customFormat="false" ht="15" hidden="false" customHeight="true" outlineLevel="0" collapsed="false">
      <c r="A39" s="5" t="s">
        <v>785</v>
      </c>
      <c r="B39" s="3" t="s">
        <v>435</v>
      </c>
      <c r="C39" s="22" t="n">
        <f aca="false">IF(C$3&lt;inicio_taller,0,talleres_mes)</f>
        <v>0</v>
      </c>
      <c r="D39" s="22" t="n">
        <f aca="false">IF(D$3&lt;inicio_taller,0,talleres_mes)</f>
        <v>4</v>
      </c>
      <c r="E39" s="22" t="n">
        <f aca="false">IF(E$3&lt;inicio_taller,0,talleres_mes)</f>
        <v>4</v>
      </c>
      <c r="F39" s="22" t="n">
        <f aca="false">IF(F$3&lt;inicio_taller,0,talleres_mes)</f>
        <v>4</v>
      </c>
      <c r="G39" s="22" t="n">
        <f aca="false">IF(G$3&lt;inicio_taller,0,talleres_mes)</f>
        <v>4</v>
      </c>
      <c r="H39" s="22" t="n">
        <f aca="false">IF(H$3&lt;inicio_taller,0,talleres_mes)</f>
        <v>4</v>
      </c>
      <c r="I39" s="22" t="n">
        <f aca="false">IF(I$3&lt;inicio_taller,0,talleres_mes)</f>
        <v>4</v>
      </c>
      <c r="J39" s="22" t="n">
        <f aca="false">IF(J$3&lt;inicio_taller,0,talleres_mes)</f>
        <v>4</v>
      </c>
      <c r="K39" s="22" t="n">
        <f aca="false">IF(K$3&lt;inicio_taller,0,talleres_mes)</f>
        <v>4</v>
      </c>
      <c r="L39" s="22" t="n">
        <f aca="false">IF(L$3&lt;inicio_taller,0,talleres_mes)</f>
        <v>4</v>
      </c>
      <c r="M39" s="22" t="n">
        <f aca="false">IF(M$3&lt;inicio_taller,0,talleres_mes)</f>
        <v>4</v>
      </c>
      <c r="N39" s="22" t="n">
        <f aca="false">IF(N$3&lt;inicio_taller,0,talleres_mes)</f>
        <v>4</v>
      </c>
      <c r="O39" s="22" t="n">
        <f aca="false">IF(O$3&lt;inicio_taller,0,talleres_mes)</f>
        <v>4</v>
      </c>
      <c r="P39" s="22" t="n">
        <f aca="false">IF(P$3&lt;inicio_taller,0,talleres_mes)</f>
        <v>4</v>
      </c>
      <c r="Q39" s="22" t="n">
        <f aca="false">IF(Q$3&lt;inicio_taller,0,talleres_mes)</f>
        <v>4</v>
      </c>
      <c r="R39" s="22" t="n">
        <f aca="false">IF(R$3&lt;inicio_taller,0,talleres_mes)</f>
        <v>4</v>
      </c>
      <c r="S39" s="22" t="n">
        <f aca="false">IF(S$3&lt;inicio_taller,0,talleres_mes)</f>
        <v>4</v>
      </c>
      <c r="T39" s="22" t="n">
        <f aca="false">IF(T$3&lt;inicio_taller,0,talleres_mes)</f>
        <v>4</v>
      </c>
      <c r="U39" s="22" t="n">
        <f aca="false">IF(U$3&lt;inicio_taller,0,talleres_mes)</f>
        <v>4</v>
      </c>
      <c r="V39" s="22" t="n">
        <f aca="false">IF(V$3&lt;inicio_taller,0,talleres_mes)</f>
        <v>4</v>
      </c>
      <c r="W39" s="22" t="n">
        <f aca="false">IF(W$3&lt;inicio_taller,0,talleres_mes)</f>
        <v>4</v>
      </c>
      <c r="X39" s="22" t="n">
        <f aca="false">IF(X$3&lt;inicio_taller,0,talleres_mes)</f>
        <v>4</v>
      </c>
      <c r="Y39" s="22" t="n">
        <f aca="false">IF(Y$3&lt;inicio_taller,0,talleres_mes)</f>
        <v>4</v>
      </c>
      <c r="Z39" s="22" t="n">
        <f aca="false">IF(Z$3&lt;inicio_taller,0,talleres_mes)</f>
        <v>4</v>
      </c>
      <c r="AA39" s="22" t="n">
        <f aca="false">IF(AA$3&lt;inicio_taller,0,talleres_mes)</f>
        <v>4</v>
      </c>
      <c r="AB39" s="22" t="n">
        <f aca="false">IF(AB$3&lt;inicio_taller,0,talleres_mes)</f>
        <v>4</v>
      </c>
      <c r="AC39" s="22" t="n">
        <f aca="false">IF(AC$3&lt;inicio_taller,0,talleres_mes)</f>
        <v>4</v>
      </c>
      <c r="AD39" s="22" t="n">
        <f aca="false">IF(AD$3&lt;inicio_taller,0,talleres_mes)</f>
        <v>4</v>
      </c>
      <c r="AE39" s="22" t="n">
        <f aca="false">IF(AE$3&lt;inicio_taller,0,talleres_mes)</f>
        <v>4</v>
      </c>
      <c r="AF39" s="22" t="n">
        <f aca="false">IF(AF$3&lt;inicio_taller,0,talleres_mes)</f>
        <v>4</v>
      </c>
      <c r="AG39" s="22" t="n">
        <f aca="false">IF(AG$3&lt;inicio_taller,0,talleres_mes)</f>
        <v>4</v>
      </c>
      <c r="AH39" s="22" t="n">
        <f aca="false">IF(AH$3&lt;inicio_taller,0,talleres_mes)</f>
        <v>4</v>
      </c>
      <c r="AI39" s="22" t="n">
        <f aca="false">IF(AI$3&lt;inicio_taller,0,talleres_mes)</f>
        <v>4</v>
      </c>
      <c r="AJ39" s="22" t="n">
        <f aca="false">IF(AJ$3&lt;inicio_taller,0,talleres_mes)</f>
        <v>4</v>
      </c>
      <c r="AK39" s="22" t="n">
        <f aca="false">IF(AK$3&lt;inicio_taller,0,talleres_mes)</f>
        <v>4</v>
      </c>
      <c r="AL39" s="22" t="n">
        <f aca="false">IF(AL$3&lt;inicio_taller,0,talleres_mes)</f>
        <v>4</v>
      </c>
    </row>
    <row r="40" customFormat="false" ht="15" hidden="false" customHeight="true" outlineLevel="0" collapsed="false">
      <c r="A40" s="5" t="s">
        <v>786</v>
      </c>
      <c r="B40" s="3" t="s">
        <v>438</v>
      </c>
      <c r="C40" s="22" t="n">
        <f aca="false">C39*asist_taller</f>
        <v>0</v>
      </c>
      <c r="D40" s="22" t="n">
        <f aca="false">D39*asist_taller</f>
        <v>48</v>
      </c>
      <c r="E40" s="22" t="n">
        <f aca="false">E39*asist_taller</f>
        <v>48</v>
      </c>
      <c r="F40" s="22" t="n">
        <f aca="false">F39*asist_taller</f>
        <v>48</v>
      </c>
      <c r="G40" s="22" t="n">
        <f aca="false">G39*asist_taller</f>
        <v>48</v>
      </c>
      <c r="H40" s="22" t="n">
        <f aca="false">H39*asist_taller</f>
        <v>48</v>
      </c>
      <c r="I40" s="22" t="n">
        <f aca="false">I39*asist_taller</f>
        <v>48</v>
      </c>
      <c r="J40" s="22" t="n">
        <f aca="false">J39*asist_taller</f>
        <v>48</v>
      </c>
      <c r="K40" s="22" t="n">
        <f aca="false">K39*asist_taller</f>
        <v>48</v>
      </c>
      <c r="L40" s="22" t="n">
        <f aca="false">L39*asist_taller</f>
        <v>48</v>
      </c>
      <c r="M40" s="22" t="n">
        <f aca="false">M39*asist_taller</f>
        <v>48</v>
      </c>
      <c r="N40" s="22" t="n">
        <f aca="false">N39*asist_taller</f>
        <v>48</v>
      </c>
      <c r="O40" s="22" t="n">
        <f aca="false">O39*asist_taller</f>
        <v>48</v>
      </c>
      <c r="P40" s="22" t="n">
        <f aca="false">P39*asist_taller</f>
        <v>48</v>
      </c>
      <c r="Q40" s="22" t="n">
        <f aca="false">Q39*asist_taller</f>
        <v>48</v>
      </c>
      <c r="R40" s="22" t="n">
        <f aca="false">R39*asist_taller</f>
        <v>48</v>
      </c>
      <c r="S40" s="22" t="n">
        <f aca="false">S39*asist_taller</f>
        <v>48</v>
      </c>
      <c r="T40" s="22" t="n">
        <f aca="false">T39*asist_taller</f>
        <v>48</v>
      </c>
      <c r="U40" s="22" t="n">
        <f aca="false">U39*asist_taller</f>
        <v>48</v>
      </c>
      <c r="V40" s="22" t="n">
        <f aca="false">V39*asist_taller</f>
        <v>48</v>
      </c>
      <c r="W40" s="22" t="n">
        <f aca="false">W39*asist_taller</f>
        <v>48</v>
      </c>
      <c r="X40" s="22" t="n">
        <f aca="false">X39*asist_taller</f>
        <v>48</v>
      </c>
      <c r="Y40" s="22" t="n">
        <f aca="false">Y39*asist_taller</f>
        <v>48</v>
      </c>
      <c r="Z40" s="22" t="n">
        <f aca="false">Z39*asist_taller</f>
        <v>48</v>
      </c>
      <c r="AA40" s="22" t="n">
        <f aca="false">AA39*asist_taller</f>
        <v>48</v>
      </c>
      <c r="AB40" s="22" t="n">
        <f aca="false">AB39*asist_taller</f>
        <v>48</v>
      </c>
      <c r="AC40" s="22" t="n">
        <f aca="false">AC39*asist_taller</f>
        <v>48</v>
      </c>
      <c r="AD40" s="22" t="n">
        <f aca="false">AD39*asist_taller</f>
        <v>48</v>
      </c>
      <c r="AE40" s="22" t="n">
        <f aca="false">AE39*asist_taller</f>
        <v>48</v>
      </c>
      <c r="AF40" s="22" t="n">
        <f aca="false">AF39*asist_taller</f>
        <v>48</v>
      </c>
      <c r="AG40" s="22" t="n">
        <f aca="false">AG39*asist_taller</f>
        <v>48</v>
      </c>
      <c r="AH40" s="22" t="n">
        <f aca="false">AH39*asist_taller</f>
        <v>48</v>
      </c>
      <c r="AI40" s="22" t="n">
        <f aca="false">AI39*asist_taller</f>
        <v>48</v>
      </c>
      <c r="AJ40" s="22" t="n">
        <f aca="false">AJ39*asist_taller</f>
        <v>48</v>
      </c>
      <c r="AK40" s="22" t="n">
        <f aca="false">AK39*asist_taller</f>
        <v>48</v>
      </c>
      <c r="AL40" s="22" t="n">
        <f aca="false">AL39*asist_taller</f>
        <v>48</v>
      </c>
    </row>
    <row r="42" customFormat="false" ht="15" hidden="false" customHeight="true" outlineLevel="0" collapsed="false">
      <c r="A42" s="28" t="s">
        <v>787</v>
      </c>
      <c r="B42" s="29"/>
    </row>
    <row r="43" customFormat="false" ht="15" hidden="false" customHeight="true" outlineLevel="0" collapsed="false">
      <c r="A43" s="21" t="s">
        <v>788</v>
      </c>
      <c r="B43" s="3" t="s">
        <v>265</v>
      </c>
      <c r="C43" s="24" t="n">
        <f aca="false">SUM(C21:C24)+C29+C31+C33+C35</f>
        <v>4885.125</v>
      </c>
      <c r="D43" s="24" t="n">
        <f aca="false">SUM(D21:D24)+D29+D31+D33+D35</f>
        <v>3644.82625</v>
      </c>
      <c r="E43" s="24" t="n">
        <f aca="false">SUM(E21:E24)+E29+E31+E33+E35</f>
        <v>5386.53742063492</v>
      </c>
      <c r="F43" s="24" t="n">
        <f aca="false">SUM(F21:F24)+F29+F31+F33+F35</f>
        <v>7689.62359126984</v>
      </c>
      <c r="G43" s="24" t="n">
        <f aca="false">SUM(G21:G24)+G29+G31+G33+G35</f>
        <v>10682.8035119048</v>
      </c>
      <c r="H43" s="24" t="n">
        <f aca="false">SUM(H21:H24)+H29+H31+H33+H35</f>
        <v>13594.7959325397</v>
      </c>
      <c r="I43" s="24" t="n">
        <f aca="false">SUM(I21:I24)+I29+I31+I33+I35</f>
        <v>15370.1633531746</v>
      </c>
      <c r="J43" s="24" t="n">
        <f aca="false">SUM(J21:J24)+J29+J31+J33+J35</f>
        <v>15269.0170238095</v>
      </c>
      <c r="K43" s="24" t="n">
        <f aca="false">SUM(K21:K24)+K29+K31+K33+K35</f>
        <v>13489.6519444444</v>
      </c>
      <c r="L43" s="24" t="n">
        <f aca="false">SUM(L21:L24)+L29+L31+L33+L35</f>
        <v>13510.2868650794</v>
      </c>
      <c r="M43" s="24" t="n">
        <f aca="false">SUM(M21:M24)+M29+M31+M33+M35</f>
        <v>14342.7967857143</v>
      </c>
      <c r="N43" s="24" t="n">
        <f aca="false">SUM(N21:N24)+N29+N31+N33+N35</f>
        <v>26820.9217857143</v>
      </c>
      <c r="O43" s="24" t="n">
        <f aca="false">SUM(O21:O24)+O29+O31+O33+O35</f>
        <v>35377.2967857143</v>
      </c>
      <c r="P43" s="24" t="n">
        <f aca="false">SUM(P21:P24)+P29+P31+P33+P35</f>
        <v>28232.7967857143</v>
      </c>
      <c r="Q43" s="24" t="n">
        <f aca="false">SUM(Q21:Q24)+Q29+Q31+Q33+Q35</f>
        <v>14829.9217857143</v>
      </c>
      <c r="R43" s="24" t="n">
        <f aca="false">SUM(R21:R24)+R29+R31+R33+R35</f>
        <v>15722.9842857143</v>
      </c>
      <c r="S43" s="24" t="n">
        <f aca="false">SUM(S21:S24)+S29+S31+S33+S35</f>
        <v>17509.1092857143</v>
      </c>
      <c r="T43" s="24" t="n">
        <f aca="false">SUM(T21:T24)+T29+T31+T33+T35</f>
        <v>18402.1717857143</v>
      </c>
      <c r="U43" s="24" t="n">
        <f aca="false">SUM(U21:U24)+U29+U31+U33+U35</f>
        <v>17509.1092857143</v>
      </c>
      <c r="V43" s="24" t="n">
        <f aca="false">SUM(V21:V24)+V29+V31+V33+V35</f>
        <v>14829.9217857143</v>
      </c>
      <c r="W43" s="24" t="n">
        <f aca="false">SUM(W21:W24)+W29+W31+W33+W35</f>
        <v>14829.9217857143</v>
      </c>
      <c r="X43" s="24" t="n">
        <f aca="false">SUM(X21:X24)+X29+X31+X33+X35</f>
        <v>14829.9217857143</v>
      </c>
      <c r="Y43" s="24" t="n">
        <f aca="false">SUM(Y21:Y24)+Y29+Y31+Y33+Y35</f>
        <v>15722.9842857143</v>
      </c>
      <c r="Z43" s="24" t="n">
        <f aca="false">SUM(Z21:Z24)+Z29+Z31+Z33+Z35</f>
        <v>29418.9217857143</v>
      </c>
      <c r="AA43" s="24" t="n">
        <f aca="false">SUM(AA21:AA24)+AA29+AA31+AA33+AA35</f>
        <v>38770.9342857143</v>
      </c>
      <c r="AB43" s="24" t="n">
        <f aca="false">SUM(AB21:AB24)+AB29+AB31+AB33+AB35</f>
        <v>30911.9842857143</v>
      </c>
      <c r="AC43" s="24" t="n">
        <f aca="false">SUM(AC21:AC24)+AC29+AC31+AC33+AC35</f>
        <v>16258.8217857143</v>
      </c>
      <c r="AD43" s="24" t="n">
        <f aca="false">SUM(AD21:AD24)+AD29+AD31+AD33+AD35</f>
        <v>17241.1905357143</v>
      </c>
      <c r="AE43" s="24" t="n">
        <f aca="false">SUM(AE21:AE24)+AE29+AE31+AE33+AE35</f>
        <v>19205.9280357143</v>
      </c>
      <c r="AF43" s="24" t="n">
        <f aca="false">SUM(AF21:AF24)+AF29+AF31+AF33+AF35</f>
        <v>20188.2967857143</v>
      </c>
      <c r="AG43" s="24" t="n">
        <f aca="false">SUM(AG21:AG24)+AG29+AG31+AG33+AG35</f>
        <v>19205.9280357143</v>
      </c>
      <c r="AH43" s="24" t="n">
        <f aca="false">SUM(AH21:AH24)+AH29+AH31+AH33+AH35</f>
        <v>16258.8217857143</v>
      </c>
      <c r="AI43" s="24" t="n">
        <f aca="false">SUM(AI21:AI24)+AI29+AI31+AI33+AI35</f>
        <v>16258.8217857143</v>
      </c>
      <c r="AJ43" s="24" t="n">
        <f aca="false">SUM(AJ21:AJ24)+AJ29+AJ31+AJ33+AJ35</f>
        <v>16258.8217857143</v>
      </c>
      <c r="AK43" s="24" t="n">
        <f aca="false">SUM(AK21:AK24)+AK29+AK31+AK33+AK35</f>
        <v>17241.1905357143</v>
      </c>
      <c r="AL43" s="24" t="n">
        <f aca="false">SUM(AL21:AL24)+AL29+AL31+AL33+AL35</f>
        <v>32276.7217857143</v>
      </c>
    </row>
    <row r="44" customFormat="false" ht="15" hidden="false" customHeight="true" outlineLevel="0" collapsed="false">
      <c r="A44" s="5" t="s">
        <v>789</v>
      </c>
      <c r="B44" s="3" t="s">
        <v>265</v>
      </c>
      <c r="C44" s="22" t="n">
        <f aca="false">C43/dias_habiles</f>
        <v>203.546875</v>
      </c>
      <c r="D44" s="22" t="n">
        <f aca="false">D43/dias_habiles</f>
        <v>151.867760416667</v>
      </c>
      <c r="E44" s="22" t="n">
        <f aca="false">E43/dias_habiles</f>
        <v>224.439059193122</v>
      </c>
      <c r="F44" s="22" t="n">
        <f aca="false">F43/dias_habiles</f>
        <v>320.400982969577</v>
      </c>
      <c r="G44" s="22" t="n">
        <f aca="false">G43/dias_habiles</f>
        <v>445.116812996032</v>
      </c>
      <c r="H44" s="22" t="n">
        <f aca="false">H43/dias_habiles</f>
        <v>566.449830522487</v>
      </c>
      <c r="I44" s="22" t="n">
        <f aca="false">I43/dias_habiles</f>
        <v>640.423473048942</v>
      </c>
      <c r="J44" s="22" t="n">
        <f aca="false">J43/dias_habiles</f>
        <v>636.20904265873</v>
      </c>
      <c r="K44" s="22" t="n">
        <f aca="false">K43/dias_habiles</f>
        <v>562.068831018519</v>
      </c>
      <c r="L44" s="22" t="n">
        <f aca="false">L43/dias_habiles</f>
        <v>562.928619378307</v>
      </c>
      <c r="M44" s="22" t="n">
        <f aca="false">M43/dias_habiles</f>
        <v>597.616532738095</v>
      </c>
      <c r="N44" s="22" t="n">
        <f aca="false">N43/dias_habiles</f>
        <v>1117.5384077381</v>
      </c>
      <c r="O44" s="22" t="n">
        <f aca="false">O43/dias_habiles</f>
        <v>1474.0540327381</v>
      </c>
      <c r="P44" s="22" t="n">
        <f aca="false">P43/dias_habiles</f>
        <v>1176.3665327381</v>
      </c>
      <c r="Q44" s="22" t="n">
        <f aca="false">Q43/dias_habiles</f>
        <v>617.913407738095</v>
      </c>
      <c r="R44" s="22" t="n">
        <f aca="false">R43/dias_habiles</f>
        <v>655.124345238095</v>
      </c>
      <c r="S44" s="22" t="n">
        <f aca="false">S43/dias_habiles</f>
        <v>729.546220238095</v>
      </c>
      <c r="T44" s="22" t="n">
        <f aca="false">T43/dias_habiles</f>
        <v>766.757157738095</v>
      </c>
      <c r="U44" s="22" t="n">
        <f aca="false">U43/dias_habiles</f>
        <v>729.546220238095</v>
      </c>
      <c r="V44" s="22" t="n">
        <f aca="false">V43/dias_habiles</f>
        <v>617.913407738095</v>
      </c>
      <c r="W44" s="22" t="n">
        <f aca="false">W43/dias_habiles</f>
        <v>617.913407738095</v>
      </c>
      <c r="X44" s="22" t="n">
        <f aca="false">X43/dias_habiles</f>
        <v>617.913407738095</v>
      </c>
      <c r="Y44" s="22" t="n">
        <f aca="false">Y43/dias_habiles</f>
        <v>655.124345238095</v>
      </c>
      <c r="Z44" s="22" t="n">
        <f aca="false">Z43/dias_habiles</f>
        <v>1225.7884077381</v>
      </c>
      <c r="AA44" s="22" t="n">
        <f aca="false">AA43/dias_habiles</f>
        <v>1615.4555952381</v>
      </c>
      <c r="AB44" s="22" t="n">
        <f aca="false">AB43/dias_habiles</f>
        <v>1287.9993452381</v>
      </c>
      <c r="AC44" s="22" t="n">
        <f aca="false">AC43/dias_habiles</f>
        <v>677.450907738096</v>
      </c>
      <c r="AD44" s="22" t="n">
        <f aca="false">AD43/dias_habiles</f>
        <v>718.382938988095</v>
      </c>
      <c r="AE44" s="22" t="n">
        <f aca="false">AE43/dias_habiles</f>
        <v>800.247001488095</v>
      </c>
      <c r="AF44" s="22" t="n">
        <f aca="false">AF43/dias_habiles</f>
        <v>841.179032738095</v>
      </c>
      <c r="AG44" s="22" t="n">
        <f aca="false">AG43/dias_habiles</f>
        <v>800.247001488095</v>
      </c>
      <c r="AH44" s="22" t="n">
        <f aca="false">AH43/dias_habiles</f>
        <v>677.450907738096</v>
      </c>
      <c r="AI44" s="22" t="n">
        <f aca="false">AI43/dias_habiles</f>
        <v>677.450907738096</v>
      </c>
      <c r="AJ44" s="22" t="n">
        <f aca="false">AJ43/dias_habiles</f>
        <v>677.450907738096</v>
      </c>
      <c r="AK44" s="22" t="n">
        <f aca="false">AK43/dias_habiles</f>
        <v>718.382938988095</v>
      </c>
      <c r="AL44" s="22" t="n">
        <f aca="false">AL43/dias_habiles</f>
        <v>1344.8634077381</v>
      </c>
    </row>
    <row r="45" customFormat="false" ht="15" hidden="false" customHeight="true" outlineLevel="0" collapsed="false">
      <c r="A45" s="5" t="s">
        <v>790</v>
      </c>
      <c r="B45" s="3" t="s">
        <v>265</v>
      </c>
      <c r="C45" s="22" t="n">
        <f aca="false">C21+C23+C24+C33+C35</f>
        <v>3599.5875</v>
      </c>
      <c r="D45" s="22" t="n">
        <f aca="false">D21+D23+D24+D33+D35</f>
        <v>2904.9375</v>
      </c>
      <c r="E45" s="22" t="n">
        <f aca="false">E21+E23+E24+E33+E35</f>
        <v>3328.5</v>
      </c>
      <c r="F45" s="22" t="n">
        <f aca="false">F21+F23+F24+F33+F35</f>
        <v>4692.45</v>
      </c>
      <c r="G45" s="22" t="n">
        <f aca="false">G21+G23+G24+G33+G35</f>
        <v>6470.45625</v>
      </c>
      <c r="H45" s="22" t="n">
        <f aca="false">H21+H23+H24+H33+H35</f>
        <v>8199.75</v>
      </c>
      <c r="I45" s="22" t="n">
        <f aca="false">I21+I23+I24+I33+I35</f>
        <v>9247.06875</v>
      </c>
      <c r="J45" s="22" t="n">
        <f aca="false">J21+J23+J24+J33+J35</f>
        <v>9174</v>
      </c>
      <c r="K45" s="22" t="n">
        <f aca="false">K21+K23+K24+K33+K35</f>
        <v>8094</v>
      </c>
      <c r="L45" s="22" t="n">
        <f aca="false">L21+L23+L24+L33+L35</f>
        <v>8094</v>
      </c>
      <c r="M45" s="22" t="n">
        <f aca="false">M21+M23+M24+M33+M35</f>
        <v>8581.125</v>
      </c>
      <c r="N45" s="22" t="n">
        <f aca="false">N21+N23+N24+N33+N35</f>
        <v>18786</v>
      </c>
      <c r="O45" s="22" t="n">
        <f aca="false">O21+O23+O24+O33+O35</f>
        <v>24955.4625</v>
      </c>
      <c r="P45" s="22" t="n">
        <f aca="false">P21+P23+P24+P33+P35</f>
        <v>19954.3125</v>
      </c>
      <c r="Q45" s="22" t="n">
        <f aca="false">Q21+Q23+Q24+Q33+Q35</f>
        <v>8873.4</v>
      </c>
      <c r="R45" s="22" t="n">
        <f aca="false">R21+R23+R24+R33+R35</f>
        <v>9409.2375</v>
      </c>
      <c r="S45" s="22" t="n">
        <f aca="false">S21+S23+S24+S33+S35</f>
        <v>10480.9125</v>
      </c>
      <c r="T45" s="22" t="n">
        <f aca="false">T21+T23+T24+T33+T35</f>
        <v>11016.75</v>
      </c>
      <c r="U45" s="22" t="n">
        <f aca="false">U21+U23+U24+U33+U35</f>
        <v>10480.9125</v>
      </c>
      <c r="V45" s="22" t="n">
        <f aca="false">V21+V23+V24+V33+V35</f>
        <v>8873.4</v>
      </c>
      <c r="W45" s="22" t="n">
        <f aca="false">W21+W23+W24+W33+W35</f>
        <v>8873.4</v>
      </c>
      <c r="X45" s="22" t="n">
        <f aca="false">X21+X23+X24+X33+X35</f>
        <v>8873.4</v>
      </c>
      <c r="Y45" s="22" t="n">
        <f aca="false">Y21+Y23+Y24+Y33+Y35</f>
        <v>9409.2375</v>
      </c>
      <c r="Z45" s="22" t="n">
        <f aca="false">Z21+Z23+Z24+Z33+Z35</f>
        <v>20604.6</v>
      </c>
      <c r="AA45" s="22" t="n">
        <f aca="false">AA21+AA23+AA24+AA33+AA35</f>
        <v>27331.00875</v>
      </c>
      <c r="AB45" s="22" t="n">
        <f aca="false">AB21+AB23+AB24+AB33+AB35</f>
        <v>21829.74375</v>
      </c>
      <c r="AC45" s="22" t="n">
        <f aca="false">AC21+AC23+AC24+AC33+AC35</f>
        <v>9730.74</v>
      </c>
      <c r="AD45" s="22" t="n">
        <f aca="false">AD21+AD23+AD24+AD33+AD35</f>
        <v>10320.16125</v>
      </c>
      <c r="AE45" s="22" t="n">
        <f aca="false">AE21+AE23+AE24+AE33+AE35</f>
        <v>11499.00375</v>
      </c>
      <c r="AF45" s="22" t="n">
        <f aca="false">AF21+AF23+AF24+AF33+AF35</f>
        <v>12088.425</v>
      </c>
      <c r="AG45" s="22" t="n">
        <f aca="false">AG21+AG23+AG24+AG33+AG35</f>
        <v>11499.00375</v>
      </c>
      <c r="AH45" s="22" t="n">
        <f aca="false">AH21+AH23+AH24+AH33+AH35</f>
        <v>9730.74</v>
      </c>
      <c r="AI45" s="22" t="n">
        <f aca="false">AI21+AI23+AI24+AI33+AI35</f>
        <v>9730.74</v>
      </c>
      <c r="AJ45" s="22" t="n">
        <f aca="false">AJ21+AJ23+AJ24+AJ33+AJ35</f>
        <v>9730.74</v>
      </c>
      <c r="AK45" s="22" t="n">
        <f aca="false">AK21+AK23+AK24+AK33+AK35</f>
        <v>10320.16125</v>
      </c>
      <c r="AL45" s="22" t="n">
        <f aca="false">AL21+AL23+AL24+AL33+AL35</f>
        <v>22605.06</v>
      </c>
    </row>
    <row r="46" customFormat="false" ht="15" hidden="false" customHeight="true" outlineLevel="0" collapsed="false">
      <c r="A46" s="5" t="s">
        <v>791</v>
      </c>
      <c r="B46" s="3" t="s">
        <v>265</v>
      </c>
      <c r="C46" s="22" t="n">
        <f aca="false">C22+C29+C31</f>
        <v>1285.5375</v>
      </c>
      <c r="D46" s="22" t="n">
        <f aca="false">D22+D29+D31</f>
        <v>739.88875</v>
      </c>
      <c r="E46" s="22" t="n">
        <f aca="false">E22+E29+E31</f>
        <v>2058.03742063492</v>
      </c>
      <c r="F46" s="22" t="n">
        <f aca="false">F22+F29+F31</f>
        <v>2997.17359126984</v>
      </c>
      <c r="G46" s="22" t="n">
        <f aca="false">G22+G29+G31</f>
        <v>4212.34726190476</v>
      </c>
      <c r="H46" s="22" t="n">
        <f aca="false">H22+H29+H31</f>
        <v>5395.04593253968</v>
      </c>
      <c r="I46" s="22" t="n">
        <f aca="false">I22+I29+I31</f>
        <v>6123.0946031746</v>
      </c>
      <c r="J46" s="22" t="n">
        <f aca="false">J22+J29+J31</f>
        <v>6095.01702380952</v>
      </c>
      <c r="K46" s="22" t="n">
        <f aca="false">K22+K29+K31</f>
        <v>5395.65194444445</v>
      </c>
      <c r="L46" s="22" t="n">
        <f aca="false">L22+L29+L31</f>
        <v>5416.28686507937</v>
      </c>
      <c r="M46" s="22" t="n">
        <f aca="false">M22+M29+M31</f>
        <v>5761.67178571429</v>
      </c>
      <c r="N46" s="22" t="n">
        <f aca="false">N22+N29+N31</f>
        <v>8034.92178571429</v>
      </c>
      <c r="O46" s="22" t="n">
        <f aca="false">O22+O29+O31</f>
        <v>10421.8342857143</v>
      </c>
      <c r="P46" s="22" t="n">
        <f aca="false">P22+P29+P31</f>
        <v>8278.48428571429</v>
      </c>
      <c r="Q46" s="22" t="n">
        <f aca="false">Q22+Q29+Q31</f>
        <v>5956.52178571429</v>
      </c>
      <c r="R46" s="22" t="n">
        <f aca="false">R22+R29+R31</f>
        <v>6313.74678571429</v>
      </c>
      <c r="S46" s="22" t="n">
        <f aca="false">S22+S29+S31</f>
        <v>7028.19678571429</v>
      </c>
      <c r="T46" s="22" t="n">
        <f aca="false">T22+T29+T31</f>
        <v>7385.42178571429</v>
      </c>
      <c r="U46" s="22" t="n">
        <f aca="false">U22+U29+U31</f>
        <v>7028.19678571429</v>
      </c>
      <c r="V46" s="22" t="n">
        <f aca="false">V22+V29+V31</f>
        <v>5956.52178571429</v>
      </c>
      <c r="W46" s="22" t="n">
        <f aca="false">W22+W29+W31</f>
        <v>5956.52178571429</v>
      </c>
      <c r="X46" s="22" t="n">
        <f aca="false">X22+X29+X31</f>
        <v>5956.52178571429</v>
      </c>
      <c r="Y46" s="22" t="n">
        <f aca="false">Y22+Y29+Y31</f>
        <v>6313.74678571429</v>
      </c>
      <c r="Z46" s="22" t="n">
        <f aca="false">Z22+Z29+Z31</f>
        <v>8814.32178571429</v>
      </c>
      <c r="AA46" s="22" t="n">
        <f aca="false">AA22+AA29+AA31</f>
        <v>11439.9255357143</v>
      </c>
      <c r="AB46" s="22" t="n">
        <f aca="false">AB22+AB29+AB31</f>
        <v>9082.24053571429</v>
      </c>
      <c r="AC46" s="22" t="n">
        <f aca="false">AC22+AC29+AC31</f>
        <v>6528.08178571429</v>
      </c>
      <c r="AD46" s="22" t="n">
        <f aca="false">AD22+AD29+AD31</f>
        <v>6921.02928571429</v>
      </c>
      <c r="AE46" s="22" t="n">
        <f aca="false">AE22+AE29+AE31</f>
        <v>7706.92428571429</v>
      </c>
      <c r="AF46" s="22" t="n">
        <f aca="false">AF22+AF29+AF31</f>
        <v>8099.87178571429</v>
      </c>
      <c r="AG46" s="22" t="n">
        <f aca="false">AG22+AG29+AG31</f>
        <v>7706.92428571429</v>
      </c>
      <c r="AH46" s="22" t="n">
        <f aca="false">AH22+AH29+AH31</f>
        <v>6528.08178571429</v>
      </c>
      <c r="AI46" s="22" t="n">
        <f aca="false">AI22+AI29+AI31</f>
        <v>6528.08178571429</v>
      </c>
      <c r="AJ46" s="22" t="n">
        <f aca="false">AJ22+AJ29+AJ31</f>
        <v>6528.08178571429</v>
      </c>
      <c r="AK46" s="22" t="n">
        <f aca="false">AK22+AK29+AK31</f>
        <v>6921.02928571429</v>
      </c>
      <c r="AL46" s="22" t="n">
        <f aca="false">AL22+AL29+AL31</f>
        <v>9671.66178571429</v>
      </c>
    </row>
    <row r="47" customFormat="false" ht="15" hidden="false" customHeight="true" outlineLevel="0" collapsed="false">
      <c r="A47" s="5" t="s">
        <v>792</v>
      </c>
      <c r="B47" s="3" t="s">
        <v>615</v>
      </c>
      <c r="C47" s="22" t="n">
        <f aca="false">C43*gramos_sem/1000</f>
        <v>1944.240669</v>
      </c>
      <c r="D47" s="22" t="n">
        <f aca="false">D43*gramos_sem/1000</f>
        <v>1450.61168889</v>
      </c>
      <c r="E47" s="22" t="n">
        <f aca="false">E43*gramos_sem/1000</f>
        <v>2143.79880111333</v>
      </c>
      <c r="F47" s="22" t="n">
        <f aca="false">F43*gramos_sem/1000</f>
        <v>3060.40867233667</v>
      </c>
      <c r="G47" s="22" t="n">
        <f aca="false">G43*gramos_sem/1000</f>
        <v>4251.67033531</v>
      </c>
      <c r="H47" s="22" t="n">
        <f aca="false">H43*gramos_sem/1000</f>
        <v>5410.62002278333</v>
      </c>
      <c r="I47" s="22" t="n">
        <f aca="false">I43*gramos_sem/1000</f>
        <v>6117.20205325667</v>
      </c>
      <c r="J47" s="22" t="n">
        <f aca="false">J43*gramos_sem/1000</f>
        <v>6076.94662334</v>
      </c>
      <c r="K47" s="22" t="n">
        <f aca="false">K43*gramos_sem/1000</f>
        <v>5368.77355667333</v>
      </c>
      <c r="L47" s="22" t="n">
        <f aca="false">L43*gramos_sem/1000</f>
        <v>5376.98609000667</v>
      </c>
      <c r="M47" s="22" t="n">
        <f aca="false">M43*gramos_sem/1000</f>
        <v>5708.31837834</v>
      </c>
      <c r="N47" s="22" t="n">
        <f aca="false">N43*gramos_sem/1000</f>
        <v>10674.51230334</v>
      </c>
      <c r="O47" s="22" t="n">
        <f aca="false">O43*gramos_sem/1000</f>
        <v>14079.88110234</v>
      </c>
      <c r="P47" s="22" t="n">
        <f aca="false">P43*gramos_sem/1000</f>
        <v>11236.42725834</v>
      </c>
      <c r="Q47" s="22" t="n">
        <f aca="false">Q43*gramos_sem/1000</f>
        <v>5902.19023134</v>
      </c>
      <c r="R47" s="22" t="n">
        <f aca="false">R43*gramos_sem/1000</f>
        <v>6257.62196184</v>
      </c>
      <c r="S47" s="22" t="n">
        <f aca="false">S43*gramos_sem/1000</f>
        <v>6968.48542284</v>
      </c>
      <c r="T47" s="22" t="n">
        <f aca="false">T43*gramos_sem/1000</f>
        <v>7323.91715334</v>
      </c>
      <c r="U47" s="22" t="n">
        <f aca="false">U43*gramos_sem/1000</f>
        <v>6968.48542284</v>
      </c>
      <c r="V47" s="22" t="n">
        <f aca="false">V43*gramos_sem/1000</f>
        <v>5902.19023134</v>
      </c>
      <c r="W47" s="22" t="n">
        <f aca="false">W43*gramos_sem/1000</f>
        <v>5902.19023134</v>
      </c>
      <c r="X47" s="22" t="n">
        <f aca="false">X43*gramos_sem/1000</f>
        <v>5902.19023134</v>
      </c>
      <c r="Y47" s="22" t="n">
        <f aca="false">Y43*gramos_sem/1000</f>
        <v>6257.62196184</v>
      </c>
      <c r="Z47" s="22" t="n">
        <f aca="false">Z43*gramos_sem/1000</f>
        <v>11708.49551934</v>
      </c>
      <c r="AA47" s="22" t="n">
        <f aca="false">AA43*gramos_sem/1000</f>
        <v>15430.52167824</v>
      </c>
      <c r="AB47" s="22" t="n">
        <f aca="false">AB43*gramos_sem/1000</f>
        <v>12302.72244984</v>
      </c>
      <c r="AC47" s="22" t="n">
        <f aca="false">AC43*gramos_sem/1000</f>
        <v>6470.88100014</v>
      </c>
      <c r="AD47" s="22" t="n">
        <f aca="false">AD43*gramos_sem/1000</f>
        <v>6861.85590369</v>
      </c>
      <c r="AE47" s="22" t="n">
        <f aca="false">AE43*gramos_sem/1000</f>
        <v>7643.80571079</v>
      </c>
      <c r="AF47" s="22" t="n">
        <f aca="false">AF43*gramos_sem/1000</f>
        <v>8034.78061434</v>
      </c>
      <c r="AG47" s="22" t="n">
        <f aca="false">AG43*gramos_sem/1000</f>
        <v>7643.80571079</v>
      </c>
      <c r="AH47" s="22" t="n">
        <f aca="false">AH43*gramos_sem/1000</f>
        <v>6470.88100014</v>
      </c>
      <c r="AI47" s="22" t="n">
        <f aca="false">AI43*gramos_sem/1000</f>
        <v>6470.88100014</v>
      </c>
      <c r="AJ47" s="22" t="n">
        <f aca="false">AJ43*gramos_sem/1000</f>
        <v>6470.88100014</v>
      </c>
      <c r="AK47" s="22" t="n">
        <f aca="false">AK43*gramos_sem/1000</f>
        <v>6861.85590369</v>
      </c>
      <c r="AL47" s="22" t="n">
        <f aca="false">AL43*gramos_sem/1000</f>
        <v>12845.87705694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O7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  <col collapsed="false" customWidth="true" hidden="false" outlineLevel="0" max="41" min="39" style="1" width="15"/>
  </cols>
  <sheetData>
    <row r="1" customFormat="false" ht="18" hidden="false" customHeight="true" outlineLevel="0" collapsed="false">
      <c r="A1" s="2" t="s">
        <v>793</v>
      </c>
    </row>
    <row r="2" customFormat="false" ht="15" hidden="false" customHeight="true" outlineLevel="0" collapsed="false">
      <c r="A2" s="3" t="s">
        <v>794</v>
      </c>
    </row>
    <row r="3" customFormat="false" ht="15" hidden="false" customHeight="true" outlineLevel="0" collapsed="false">
      <c r="A3" s="28" t="s">
        <v>750</v>
      </c>
      <c r="C3" s="75" t="n">
        <f aca="false">Volumen!C3</f>
        <v>1</v>
      </c>
      <c r="D3" s="75" t="n">
        <f aca="false">Volumen!D3</f>
        <v>2</v>
      </c>
      <c r="E3" s="75" t="n">
        <f aca="false">Volumen!E3</f>
        <v>3</v>
      </c>
      <c r="F3" s="75" t="n">
        <f aca="false">Volumen!F3</f>
        <v>4</v>
      </c>
      <c r="G3" s="75" t="n">
        <f aca="false">Volumen!G3</f>
        <v>5</v>
      </c>
      <c r="H3" s="75" t="n">
        <f aca="false">Volumen!H3</f>
        <v>6</v>
      </c>
      <c r="I3" s="75" t="n">
        <f aca="false">Volumen!I3</f>
        <v>7</v>
      </c>
      <c r="J3" s="75" t="n">
        <f aca="false">Volumen!J3</f>
        <v>8</v>
      </c>
      <c r="K3" s="75" t="n">
        <f aca="false">Volumen!K3</f>
        <v>9</v>
      </c>
      <c r="L3" s="75" t="n">
        <f aca="false">Volumen!L3</f>
        <v>10</v>
      </c>
      <c r="M3" s="75" t="n">
        <f aca="false">Volumen!M3</f>
        <v>11</v>
      </c>
      <c r="N3" s="75" t="n">
        <f aca="false">Volumen!N3</f>
        <v>12</v>
      </c>
      <c r="O3" s="75" t="n">
        <f aca="false">Volumen!O3</f>
        <v>13</v>
      </c>
      <c r="P3" s="75" t="n">
        <f aca="false">Volumen!P3</f>
        <v>14</v>
      </c>
      <c r="Q3" s="75" t="n">
        <f aca="false">Volumen!Q3</f>
        <v>15</v>
      </c>
      <c r="R3" s="75" t="n">
        <f aca="false">Volumen!R3</f>
        <v>16</v>
      </c>
      <c r="S3" s="75" t="n">
        <f aca="false">Volumen!S3</f>
        <v>17</v>
      </c>
      <c r="T3" s="75" t="n">
        <f aca="false">Volumen!T3</f>
        <v>18</v>
      </c>
      <c r="U3" s="75" t="n">
        <f aca="false">Volumen!U3</f>
        <v>19</v>
      </c>
      <c r="V3" s="75" t="n">
        <f aca="false">Volumen!V3</f>
        <v>20</v>
      </c>
      <c r="W3" s="75" t="n">
        <f aca="false">Volumen!W3</f>
        <v>21</v>
      </c>
      <c r="X3" s="75" t="n">
        <f aca="false">Volumen!X3</f>
        <v>22</v>
      </c>
      <c r="Y3" s="75" t="n">
        <f aca="false">Volumen!Y3</f>
        <v>23</v>
      </c>
      <c r="Z3" s="75" t="n">
        <f aca="false">Volumen!Z3</f>
        <v>24</v>
      </c>
      <c r="AA3" s="75" t="n">
        <f aca="false">Volumen!AA3</f>
        <v>25</v>
      </c>
      <c r="AB3" s="75" t="n">
        <f aca="false">Volumen!AB3</f>
        <v>26</v>
      </c>
      <c r="AC3" s="75" t="n">
        <f aca="false">Volumen!AC3</f>
        <v>27</v>
      </c>
      <c r="AD3" s="75" t="n">
        <f aca="false">Volumen!AD3</f>
        <v>28</v>
      </c>
      <c r="AE3" s="75" t="n">
        <f aca="false">Volumen!AE3</f>
        <v>29</v>
      </c>
      <c r="AF3" s="75" t="n">
        <f aca="false">Volumen!AF3</f>
        <v>30</v>
      </c>
      <c r="AG3" s="75" t="n">
        <f aca="false">Volumen!AG3</f>
        <v>31</v>
      </c>
      <c r="AH3" s="75" t="n">
        <f aca="false">Volumen!AH3</f>
        <v>32</v>
      </c>
      <c r="AI3" s="75" t="n">
        <f aca="false">Volumen!AI3</f>
        <v>33</v>
      </c>
      <c r="AJ3" s="75" t="n">
        <f aca="false">Volumen!AJ3</f>
        <v>34</v>
      </c>
      <c r="AK3" s="75" t="n">
        <f aca="false">Volumen!AK3</f>
        <v>35</v>
      </c>
      <c r="AL3" s="75" t="n">
        <f aca="false">Volumen!AL3</f>
        <v>36</v>
      </c>
    </row>
    <row r="4" customFormat="false" ht="15" hidden="false" customHeight="true" outlineLevel="0" collapsed="false">
      <c r="A4" s="28" t="s">
        <v>751</v>
      </c>
      <c r="C4" s="76" t="n">
        <f aca="false">Volumen!C4</f>
        <v>46327</v>
      </c>
      <c r="D4" s="76" t="n">
        <f aca="false">Volumen!D4</f>
        <v>46357</v>
      </c>
      <c r="E4" s="76" t="n">
        <f aca="false">Volumen!E4</f>
        <v>46388</v>
      </c>
      <c r="F4" s="76" t="n">
        <f aca="false">Volumen!F4</f>
        <v>46419</v>
      </c>
      <c r="G4" s="76" t="n">
        <f aca="false">Volumen!G4</f>
        <v>46447</v>
      </c>
      <c r="H4" s="76" t="n">
        <f aca="false">Volumen!H4</f>
        <v>46478</v>
      </c>
      <c r="I4" s="76" t="n">
        <f aca="false">Volumen!I4</f>
        <v>46508</v>
      </c>
      <c r="J4" s="76" t="n">
        <f aca="false">Volumen!J4</f>
        <v>46539</v>
      </c>
      <c r="K4" s="76" t="n">
        <f aca="false">Volumen!K4</f>
        <v>46569</v>
      </c>
      <c r="L4" s="76" t="n">
        <f aca="false">Volumen!L4</f>
        <v>46600</v>
      </c>
      <c r="M4" s="76" t="n">
        <f aca="false">Volumen!M4</f>
        <v>46631</v>
      </c>
      <c r="N4" s="76" t="n">
        <f aca="false">Volumen!N4</f>
        <v>46661</v>
      </c>
      <c r="O4" s="76" t="n">
        <f aca="false">Volumen!O4</f>
        <v>46692</v>
      </c>
      <c r="P4" s="76" t="n">
        <f aca="false">Volumen!P4</f>
        <v>46722</v>
      </c>
      <c r="Q4" s="76" t="n">
        <f aca="false">Volumen!Q4</f>
        <v>46753</v>
      </c>
      <c r="R4" s="76" t="n">
        <f aca="false">Volumen!R4</f>
        <v>46784</v>
      </c>
      <c r="S4" s="76" t="n">
        <f aca="false">Volumen!S4</f>
        <v>46813</v>
      </c>
      <c r="T4" s="76" t="n">
        <f aca="false">Volumen!T4</f>
        <v>46844</v>
      </c>
      <c r="U4" s="76" t="n">
        <f aca="false">Volumen!U4</f>
        <v>46874</v>
      </c>
      <c r="V4" s="76" t="n">
        <f aca="false">Volumen!V4</f>
        <v>46905</v>
      </c>
      <c r="W4" s="76" t="n">
        <f aca="false">Volumen!W4</f>
        <v>46935</v>
      </c>
      <c r="X4" s="76" t="n">
        <f aca="false">Volumen!X4</f>
        <v>46966</v>
      </c>
      <c r="Y4" s="76" t="n">
        <f aca="false">Volumen!Y4</f>
        <v>46997</v>
      </c>
      <c r="Z4" s="76" t="n">
        <f aca="false">Volumen!Z4</f>
        <v>47027</v>
      </c>
      <c r="AA4" s="76" t="n">
        <f aca="false">Volumen!AA4</f>
        <v>47058</v>
      </c>
      <c r="AB4" s="76" t="n">
        <f aca="false">Volumen!AB4</f>
        <v>47088</v>
      </c>
      <c r="AC4" s="76" t="n">
        <f aca="false">Volumen!AC4</f>
        <v>47119</v>
      </c>
      <c r="AD4" s="76" t="n">
        <f aca="false">Volumen!AD4</f>
        <v>47150</v>
      </c>
      <c r="AE4" s="76" t="n">
        <f aca="false">Volumen!AE4</f>
        <v>47178</v>
      </c>
      <c r="AF4" s="76" t="n">
        <f aca="false">Volumen!AF4</f>
        <v>47209</v>
      </c>
      <c r="AG4" s="76" t="n">
        <f aca="false">Volumen!AG4</f>
        <v>47239</v>
      </c>
      <c r="AH4" s="76" t="n">
        <f aca="false">Volumen!AH4</f>
        <v>47270</v>
      </c>
      <c r="AI4" s="76" t="n">
        <f aca="false">Volumen!AI4</f>
        <v>47300</v>
      </c>
      <c r="AJ4" s="76" t="n">
        <f aca="false">Volumen!AJ4</f>
        <v>47331</v>
      </c>
      <c r="AK4" s="76" t="n">
        <f aca="false">Volumen!AK4</f>
        <v>47362</v>
      </c>
      <c r="AL4" s="76" t="n">
        <f aca="false">Volumen!AL4</f>
        <v>47392</v>
      </c>
      <c r="AM4" s="18" t="s">
        <v>56</v>
      </c>
      <c r="AN4" s="18" t="s">
        <v>57</v>
      </c>
      <c r="AO4" s="18" t="s">
        <v>58</v>
      </c>
    </row>
    <row r="5" customFormat="false" ht="15" hidden="false" customHeight="true" outlineLevel="0" collapsed="false">
      <c r="A5" s="28" t="s">
        <v>753</v>
      </c>
      <c r="C5" s="75" t="n">
        <f aca="false">Volumen!C6</f>
        <v>1</v>
      </c>
      <c r="D5" s="75" t="n">
        <f aca="false">Volumen!D6</f>
        <v>1</v>
      </c>
      <c r="E5" s="75" t="n">
        <f aca="false">Volumen!E6</f>
        <v>1</v>
      </c>
      <c r="F5" s="75" t="n">
        <f aca="false">Volumen!F6</f>
        <v>1</v>
      </c>
      <c r="G5" s="75" t="n">
        <f aca="false">Volumen!G6</f>
        <v>1</v>
      </c>
      <c r="H5" s="75" t="n">
        <f aca="false">Volumen!H6</f>
        <v>1</v>
      </c>
      <c r="I5" s="75" t="n">
        <f aca="false">Volumen!I6</f>
        <v>1</v>
      </c>
      <c r="J5" s="75" t="n">
        <f aca="false">Volumen!J6</f>
        <v>1</v>
      </c>
      <c r="K5" s="75" t="n">
        <f aca="false">Volumen!K6</f>
        <v>1</v>
      </c>
      <c r="L5" s="75" t="n">
        <f aca="false">Volumen!L6</f>
        <v>1</v>
      </c>
      <c r="M5" s="75" t="n">
        <f aca="false">Volumen!M6</f>
        <v>1</v>
      </c>
      <c r="N5" s="75" t="n">
        <f aca="false">Volumen!N6</f>
        <v>1</v>
      </c>
      <c r="O5" s="75" t="n">
        <f aca="false">Volumen!O6</f>
        <v>2</v>
      </c>
      <c r="P5" s="75" t="n">
        <f aca="false">Volumen!P6</f>
        <v>2</v>
      </c>
      <c r="Q5" s="75" t="n">
        <f aca="false">Volumen!Q6</f>
        <v>2</v>
      </c>
      <c r="R5" s="75" t="n">
        <f aca="false">Volumen!R6</f>
        <v>2</v>
      </c>
      <c r="S5" s="75" t="n">
        <f aca="false">Volumen!S6</f>
        <v>2</v>
      </c>
      <c r="T5" s="75" t="n">
        <f aca="false">Volumen!T6</f>
        <v>2</v>
      </c>
      <c r="U5" s="75" t="n">
        <f aca="false">Volumen!U6</f>
        <v>2</v>
      </c>
      <c r="V5" s="75" t="n">
        <f aca="false">Volumen!V6</f>
        <v>2</v>
      </c>
      <c r="W5" s="75" t="n">
        <f aca="false">Volumen!W6</f>
        <v>2</v>
      </c>
      <c r="X5" s="75" t="n">
        <f aca="false">Volumen!X6</f>
        <v>2</v>
      </c>
      <c r="Y5" s="75" t="n">
        <f aca="false">Volumen!Y6</f>
        <v>2</v>
      </c>
      <c r="Z5" s="75" t="n">
        <f aca="false">Volumen!Z6</f>
        <v>2</v>
      </c>
      <c r="AA5" s="75" t="n">
        <f aca="false">Volumen!AA6</f>
        <v>3</v>
      </c>
      <c r="AB5" s="75" t="n">
        <f aca="false">Volumen!AB6</f>
        <v>3</v>
      </c>
      <c r="AC5" s="75" t="n">
        <f aca="false">Volumen!AC6</f>
        <v>3</v>
      </c>
      <c r="AD5" s="75" t="n">
        <f aca="false">Volumen!AD6</f>
        <v>3</v>
      </c>
      <c r="AE5" s="75" t="n">
        <f aca="false">Volumen!AE6</f>
        <v>3</v>
      </c>
      <c r="AF5" s="75" t="n">
        <f aca="false">Volumen!AF6</f>
        <v>3</v>
      </c>
      <c r="AG5" s="75" t="n">
        <f aca="false">Volumen!AG6</f>
        <v>3</v>
      </c>
      <c r="AH5" s="75" t="n">
        <f aca="false">Volumen!AH6</f>
        <v>3</v>
      </c>
      <c r="AI5" s="75" t="n">
        <f aca="false">Volumen!AI6</f>
        <v>3</v>
      </c>
      <c r="AJ5" s="75" t="n">
        <f aca="false">Volumen!AJ6</f>
        <v>3</v>
      </c>
      <c r="AK5" s="75" t="n">
        <f aca="false">Volumen!AK6</f>
        <v>3</v>
      </c>
      <c r="AL5" s="75" t="n">
        <f aca="false">Volumen!AL6</f>
        <v>3</v>
      </c>
    </row>
    <row r="7" customFormat="false" ht="15" hidden="false" customHeight="true" outlineLevel="0" collapsed="false">
      <c r="A7" s="28" t="s">
        <v>795</v>
      </c>
      <c r="B7" s="29"/>
    </row>
    <row r="8" customFormat="false" ht="15" hidden="false" customHeight="true" outlineLevel="0" collapsed="false">
      <c r="A8" s="5" t="s">
        <v>796</v>
      </c>
      <c r="C8" s="19" t="n">
        <f aca="false">Volumen!C21*net_sem</f>
        <v>32902.113268319</v>
      </c>
      <c r="D8" s="19" t="n">
        <f aca="false">Volumen!D21*net_sem</f>
        <v>18701.253669181</v>
      </c>
      <c r="E8" s="19" t="n">
        <f aca="false">Volumen!E21*net_sem</f>
        <v>45215.0916271552</v>
      </c>
      <c r="F8" s="19" t="n">
        <f aca="false">Volumen!F21*net_sem</f>
        <v>65578.678955819</v>
      </c>
      <c r="G8" s="19" t="n">
        <f aca="false">Volumen!G21*net_sem</f>
        <v>92124.0695806843</v>
      </c>
      <c r="H8" s="19" t="n">
        <f aca="false">Volumen!H21*net_sem</f>
        <v>117942.189229526</v>
      </c>
      <c r="I8" s="19" t="n">
        <f aca="false">Volumen!I21*net_sem</f>
        <v>133578.515214036</v>
      </c>
      <c r="J8" s="19" t="n">
        <f aca="false">Volumen!J21*net_sem</f>
        <v>132487.60875</v>
      </c>
      <c r="K8" s="19" t="n">
        <f aca="false">Volumen!K21*net_sem</f>
        <v>116363.356163793</v>
      </c>
      <c r="L8" s="19" t="n">
        <f aca="false">Volumen!L21*net_sem</f>
        <v>116363.356163793</v>
      </c>
      <c r="M8" s="19" t="n">
        <f aca="false">Volumen!M21*net_sem</f>
        <v>123636.06592403</v>
      </c>
      <c r="N8" s="19" t="n">
        <f aca="false">Volumen!N21*net_sem</f>
        <v>199480.039137931</v>
      </c>
      <c r="O8" s="19" t="n">
        <f aca="false">Volumen!O21*net_sem</f>
        <v>260570.801123922</v>
      </c>
      <c r="P8" s="19" t="n">
        <f aca="false">Volumen!P21*net_sem</f>
        <v>205713.790360991</v>
      </c>
      <c r="Q8" s="19" t="n">
        <f aca="false">Volumen!Q21*net_sem</f>
        <v>127999.691780172</v>
      </c>
      <c r="R8" s="19" t="n">
        <f aca="false">Volumen!R21*net_sem</f>
        <v>135999.672516433</v>
      </c>
      <c r="S8" s="19" t="n">
        <f aca="false">Volumen!S21*net_sem</f>
        <v>151999.633988955</v>
      </c>
      <c r="T8" s="19" t="n">
        <f aca="false">Volumen!T21*net_sem</f>
        <v>159999.614725216</v>
      </c>
      <c r="U8" s="19" t="n">
        <f aca="false">Volumen!U21*net_sem</f>
        <v>151999.633988955</v>
      </c>
      <c r="V8" s="19" t="n">
        <f aca="false">Volumen!V21*net_sem</f>
        <v>127999.691780172</v>
      </c>
      <c r="W8" s="19" t="n">
        <f aca="false">Volumen!W21*net_sem</f>
        <v>127999.691780172</v>
      </c>
      <c r="X8" s="19" t="n">
        <f aca="false">Volumen!X21*net_sem</f>
        <v>127999.691780172</v>
      </c>
      <c r="Y8" s="19" t="n">
        <f aca="false">Volumen!Y21*net_sem</f>
        <v>135999.672516433</v>
      </c>
      <c r="Z8" s="19" t="n">
        <f aca="false">Volumen!Z21*net_sem</f>
        <v>219428.043051724</v>
      </c>
      <c r="AA8" s="19" t="n">
        <f aca="false">Volumen!AA21*net_sem</f>
        <v>286627.881236315</v>
      </c>
      <c r="AB8" s="19" t="n">
        <f aca="false">Volumen!AB21*net_sem</f>
        <v>226285.169397091</v>
      </c>
      <c r="AC8" s="19" t="n">
        <f aca="false">Volumen!AC21*net_sem</f>
        <v>140799.66095819</v>
      </c>
      <c r="AD8" s="19" t="n">
        <f aca="false">Volumen!AD21*net_sem</f>
        <v>149599.639768077</v>
      </c>
      <c r="AE8" s="19" t="n">
        <f aca="false">Volumen!AE21*net_sem</f>
        <v>167199.59738785</v>
      </c>
      <c r="AF8" s="19" t="n">
        <f aca="false">Volumen!AF21*net_sem</f>
        <v>175999.576197737</v>
      </c>
      <c r="AG8" s="19" t="n">
        <f aca="false">Volumen!AG21*net_sem</f>
        <v>167199.59738785</v>
      </c>
      <c r="AH8" s="19" t="n">
        <f aca="false">Volumen!AH21*net_sem</f>
        <v>140799.66095819</v>
      </c>
      <c r="AI8" s="19" t="n">
        <f aca="false">Volumen!AI21*net_sem</f>
        <v>140799.66095819</v>
      </c>
      <c r="AJ8" s="19" t="n">
        <f aca="false">Volumen!AJ21*net_sem</f>
        <v>140799.66095819</v>
      </c>
      <c r="AK8" s="19" t="n">
        <f aca="false">Volumen!AK21*net_sem</f>
        <v>149599.639768077</v>
      </c>
      <c r="AL8" s="19" t="n">
        <f aca="false">Volumen!AL21*net_sem</f>
        <v>241370.847356897</v>
      </c>
      <c r="AM8" s="77" t="n">
        <f aca="false">SUMIF($C$5:$AL$5,1,$C8:$AL8)</f>
        <v>1194372.33768427</v>
      </c>
      <c r="AN8" s="77" t="n">
        <f aca="false">SUMIF($C$5:$AL$5,2,$C8:$AL8)</f>
        <v>1933709.62939332</v>
      </c>
      <c r="AO8" s="77" t="n">
        <f aca="false">SUMIF($C$5:$AL$5,3,$C8:$AL8)</f>
        <v>2127080.59233265</v>
      </c>
    </row>
    <row r="9" customFormat="false" ht="15" hidden="false" customHeight="true" outlineLevel="0" collapsed="false">
      <c r="A9" s="5" t="s">
        <v>797</v>
      </c>
      <c r="C9" s="19" t="n">
        <f aca="false">Volumen!C22*net_rep</f>
        <v>22830.0377780172</v>
      </c>
      <c r="D9" s="19" t="n">
        <f aca="false">Volumen!D22*net_rep</f>
        <v>12976.3800969828</v>
      </c>
      <c r="E9" s="19" t="n">
        <f aca="false">Volumen!E22*net_rep</f>
        <v>35855.6994827586</v>
      </c>
      <c r="F9" s="19" t="n">
        <f aca="false">Volumen!F22*net_rep</f>
        <v>52004.0836034483</v>
      </c>
      <c r="G9" s="19" t="n">
        <f aca="false">Volumen!G22*net_rep</f>
        <v>73054.6557607759</v>
      </c>
      <c r="H9" s="19" t="n">
        <f aca="false">Volumen!H22*net_rep</f>
        <v>93528.4999137931</v>
      </c>
      <c r="I9" s="19" t="n">
        <f aca="false">Volumen!I22*net_rep</f>
        <v>105928.152006466</v>
      </c>
      <c r="J9" s="19" t="n">
        <f aca="false">Volumen!J22*net_rep</f>
        <v>105063.06</v>
      </c>
      <c r="K9" s="19" t="n">
        <f aca="false">Volumen!K22*net_rep</f>
        <v>92276.4806896552</v>
      </c>
      <c r="L9" s="19" t="n">
        <f aca="false">Volumen!L22*net_rep</f>
        <v>92276.4806896552</v>
      </c>
      <c r="M9" s="19" t="n">
        <f aca="false">Volumen!M22*net_rep</f>
        <v>98043.7607327586</v>
      </c>
      <c r="N9" s="19" t="n">
        <f aca="false">Volumen!N22*net_rep</f>
        <v>138414.721034483</v>
      </c>
      <c r="O9" s="19" t="n">
        <f aca="false">Volumen!O22*net_rep</f>
        <v>180804.229351293</v>
      </c>
      <c r="P9" s="19" t="n">
        <f aca="false">Volumen!P22*net_rep</f>
        <v>142740.18106681</v>
      </c>
      <c r="Q9" s="19" t="n">
        <f aca="false">Volumen!Q22*net_rep</f>
        <v>101504.128758621</v>
      </c>
      <c r="R9" s="19" t="n">
        <f aca="false">Volumen!R22*net_rep</f>
        <v>107848.136806035</v>
      </c>
      <c r="S9" s="19" t="n">
        <f aca="false">Volumen!S22*net_rep</f>
        <v>120536.152900862</v>
      </c>
      <c r="T9" s="19" t="n">
        <f aca="false">Volumen!T22*net_rep</f>
        <v>126880.160948276</v>
      </c>
      <c r="U9" s="19" t="n">
        <f aca="false">Volumen!U22*net_rep</f>
        <v>120536.152900862</v>
      </c>
      <c r="V9" s="19" t="n">
        <f aca="false">Volumen!V22*net_rep</f>
        <v>101504.128758621</v>
      </c>
      <c r="W9" s="19" t="n">
        <f aca="false">Volumen!W22*net_rep</f>
        <v>101504.128758621</v>
      </c>
      <c r="X9" s="19" t="n">
        <f aca="false">Volumen!X22*net_rep</f>
        <v>101504.128758621</v>
      </c>
      <c r="Y9" s="19" t="n">
        <f aca="false">Volumen!Y22*net_rep</f>
        <v>107848.136806035</v>
      </c>
      <c r="Z9" s="19" t="n">
        <f aca="false">Volumen!Z22*net_rep</f>
        <v>152256.193137931</v>
      </c>
      <c r="AA9" s="19" t="n">
        <f aca="false">Volumen!AA22*net_rep</f>
        <v>198884.652286422</v>
      </c>
      <c r="AB9" s="19" t="n">
        <f aca="false">Volumen!AB22*net_rep</f>
        <v>157014.199173491</v>
      </c>
      <c r="AC9" s="19" t="n">
        <f aca="false">Volumen!AC22*net_rep</f>
        <v>111654.541634483</v>
      </c>
      <c r="AD9" s="19" t="n">
        <f aca="false">Volumen!AD22*net_rep</f>
        <v>118632.950486638</v>
      </c>
      <c r="AE9" s="19" t="n">
        <f aca="false">Volumen!AE22*net_rep</f>
        <v>132589.768190948</v>
      </c>
      <c r="AF9" s="19" t="n">
        <f aca="false">Volumen!AF22*net_rep</f>
        <v>139568.177043104</v>
      </c>
      <c r="AG9" s="19" t="n">
        <f aca="false">Volumen!AG22*net_rep</f>
        <v>132589.768190948</v>
      </c>
      <c r="AH9" s="19" t="n">
        <f aca="false">Volumen!AH22*net_rep</f>
        <v>111654.541634483</v>
      </c>
      <c r="AI9" s="19" t="n">
        <f aca="false">Volumen!AI22*net_rep</f>
        <v>111654.541634483</v>
      </c>
      <c r="AJ9" s="19" t="n">
        <f aca="false">Volumen!AJ22*net_rep</f>
        <v>111654.541634483</v>
      </c>
      <c r="AK9" s="19" t="n">
        <f aca="false">Volumen!AK22*net_rep</f>
        <v>118632.950486638</v>
      </c>
      <c r="AL9" s="19" t="n">
        <f aca="false">Volumen!AL22*net_rep</f>
        <v>167481.812451724</v>
      </c>
      <c r="AM9" s="77" t="n">
        <f aca="false">SUMIF($C$5:$AL$5,1,$C9:$AL9)</f>
        <v>922252.011788793</v>
      </c>
      <c r="AN9" s="77" t="n">
        <f aca="false">SUMIF($C$5:$AL$5,2,$C9:$AL9)</f>
        <v>1465465.85895259</v>
      </c>
      <c r="AO9" s="77" t="n">
        <f aca="false">SUMIF($C$5:$AL$5,3,$C9:$AL9)</f>
        <v>1612012.44484785</v>
      </c>
    </row>
    <row r="10" customFormat="false" ht="15" hidden="false" customHeight="true" outlineLevel="0" collapsed="false">
      <c r="A10" s="5" t="s">
        <v>798</v>
      </c>
      <c r="C10" s="19" t="n">
        <f aca="false">Volumen!C23*net_tem</f>
        <v>46555.3711551724</v>
      </c>
      <c r="D10" s="19" t="n">
        <f aca="false">Volumen!D23*net_tem</f>
        <v>26461.6378448276</v>
      </c>
      <c r="E10" s="19" t="n">
        <f aca="false">Volumen!E23*net_tem</f>
        <v>30846.4473491379</v>
      </c>
      <c r="F10" s="19" t="n">
        <f aca="false">Volumen!F23*net_tem</f>
        <v>44738.8072176724</v>
      </c>
      <c r="G10" s="19" t="n">
        <f aca="false">Volumen!G23*net_tem</f>
        <v>62848.4906177263</v>
      </c>
      <c r="H10" s="19" t="n">
        <f aca="false">Volumen!H23*net_tem</f>
        <v>80462.0183081897</v>
      </c>
      <c r="I10" s="19" t="n">
        <f aca="false">Volumen!I23*net_tem</f>
        <v>91129.3660643858</v>
      </c>
      <c r="J10" s="19" t="n">
        <f aca="false">Volumen!J23*net_tem</f>
        <v>90385.1325</v>
      </c>
      <c r="K10" s="19" t="n">
        <f aca="false">Volumen!K23*net_tem</f>
        <v>79384.9135344828</v>
      </c>
      <c r="L10" s="19" t="n">
        <f aca="false">Volumen!L23*net_tem</f>
        <v>79384.9135344828</v>
      </c>
      <c r="M10" s="19" t="n">
        <f aca="false">Volumen!M23*net_tem</f>
        <v>84346.4706303879</v>
      </c>
      <c r="N10" s="19" t="n">
        <f aca="false">Volumen!N23*net_tem</f>
        <v>282257.470344828</v>
      </c>
      <c r="O10" s="19" t="n">
        <f aca="false">Volumen!O23*net_tem</f>
        <v>368698.820637931</v>
      </c>
      <c r="P10" s="19" t="n">
        <f aca="false">Volumen!P23*net_tem</f>
        <v>291078.016293103</v>
      </c>
      <c r="Q10" s="19" t="n">
        <f aca="false">Volumen!Q23*net_tem</f>
        <v>87323.404887931</v>
      </c>
      <c r="R10" s="19" t="n">
        <f aca="false">Volumen!R23*net_tem</f>
        <v>92781.1176934267</v>
      </c>
      <c r="S10" s="19" t="n">
        <f aca="false">Volumen!S23*net_tem</f>
        <v>103696.543304418</v>
      </c>
      <c r="T10" s="19" t="n">
        <f aca="false">Volumen!T23*net_tem</f>
        <v>109154.256109914</v>
      </c>
      <c r="U10" s="19" t="n">
        <f aca="false">Volumen!U23*net_tem</f>
        <v>103696.543304418</v>
      </c>
      <c r="V10" s="19" t="n">
        <f aca="false">Volumen!V23*net_tem</f>
        <v>87323.404887931</v>
      </c>
      <c r="W10" s="19" t="n">
        <f aca="false">Volumen!W23*net_tem</f>
        <v>87323.404887931</v>
      </c>
      <c r="X10" s="19" t="n">
        <f aca="false">Volumen!X23*net_tem</f>
        <v>87323.404887931</v>
      </c>
      <c r="Y10" s="19" t="n">
        <f aca="false">Volumen!Y23*net_tem</f>
        <v>92781.1176934267</v>
      </c>
      <c r="Z10" s="19" t="n">
        <f aca="false">Volumen!Z23*net_tem</f>
        <v>310483.21737931</v>
      </c>
      <c r="AA10" s="19" t="n">
        <f aca="false">Volumen!AA23*net_tem</f>
        <v>405568.702701724</v>
      </c>
      <c r="AB10" s="19" t="n">
        <f aca="false">Volumen!AB23*net_tem</f>
        <v>320185.817922414</v>
      </c>
      <c r="AC10" s="19" t="n">
        <f aca="false">Volumen!AC23*net_tem</f>
        <v>96055.7453767242</v>
      </c>
      <c r="AD10" s="19" t="n">
        <f aca="false">Volumen!AD23*net_tem</f>
        <v>102059.229462769</v>
      </c>
      <c r="AE10" s="19" t="n">
        <f aca="false">Volumen!AE23*net_tem</f>
        <v>114066.19763486</v>
      </c>
      <c r="AF10" s="19" t="n">
        <f aca="false">Volumen!AF23*net_tem</f>
        <v>120069.681720905</v>
      </c>
      <c r="AG10" s="19" t="n">
        <f aca="false">Volumen!AG23*net_tem</f>
        <v>114066.19763486</v>
      </c>
      <c r="AH10" s="19" t="n">
        <f aca="false">Volumen!AH23*net_tem</f>
        <v>96055.7453767242</v>
      </c>
      <c r="AI10" s="19" t="n">
        <f aca="false">Volumen!AI23*net_tem</f>
        <v>96055.7453767242</v>
      </c>
      <c r="AJ10" s="19" t="n">
        <f aca="false">Volumen!AJ23*net_tem</f>
        <v>96055.7453767242</v>
      </c>
      <c r="AK10" s="19" t="n">
        <f aca="false">Volumen!AK23*net_tem</f>
        <v>102059.229462769</v>
      </c>
      <c r="AL10" s="19" t="n">
        <f aca="false">Volumen!AL23*net_tem</f>
        <v>341531.539117241</v>
      </c>
      <c r="AM10" s="77" t="n">
        <f aca="false">SUMIF($C$5:$AL$5,1,$C10:$AL10)</f>
        <v>998801.039101293</v>
      </c>
      <c r="AN10" s="77" t="n">
        <f aca="false">SUMIF($C$5:$AL$5,2,$C10:$AL10)</f>
        <v>1821663.25196767</v>
      </c>
      <c r="AO10" s="77" t="n">
        <f aca="false">SUMIF($C$5:$AL$5,3,$C10:$AL10)</f>
        <v>2003829.57716444</v>
      </c>
    </row>
    <row r="11" customFormat="false" ht="15" hidden="false" customHeight="true" outlineLevel="0" collapsed="false">
      <c r="A11" s="5" t="s">
        <v>799</v>
      </c>
      <c r="C11" s="19" t="n">
        <f aca="false">Volumen!C24*net_per</f>
        <v>17726.852862931</v>
      </c>
      <c r="D11" s="19" t="n">
        <f aca="false">Volumen!D24*net_per</f>
        <v>10075.777487069</v>
      </c>
      <c r="E11" s="19" t="n">
        <f aca="false">Volumen!E24*net_per</f>
        <v>18270.5880452586</v>
      </c>
      <c r="F11" s="19" t="n">
        <f aca="false">Volumen!F24*net_per</f>
        <v>26499.1396596983</v>
      </c>
      <c r="G11" s="19" t="n">
        <f aca="false">Volumen!G24*net_per</f>
        <v>37225.6444428071</v>
      </c>
      <c r="H11" s="19" t="n">
        <f aca="false">Volumen!H24*net_per</f>
        <v>47658.2723825431</v>
      </c>
      <c r="I11" s="19" t="n">
        <f aca="false">Volumen!I24*net_per</f>
        <v>53976.6245150593</v>
      </c>
      <c r="J11" s="19" t="n">
        <f aca="false">Volumen!J24*net_per</f>
        <v>53535.80925</v>
      </c>
      <c r="K11" s="19" t="n">
        <f aca="false">Volumen!K24*net_per</f>
        <v>47020.2949396552</v>
      </c>
      <c r="L11" s="19" t="n">
        <f aca="false">Volumen!L24*net_per</f>
        <v>47020.2949396552</v>
      </c>
      <c r="M11" s="19" t="n">
        <f aca="false">Volumen!M24*net_per</f>
        <v>49959.0633733836</v>
      </c>
      <c r="N11" s="19" t="n">
        <f aca="false">Volumen!N24*net_per</f>
        <v>107474.959862069</v>
      </c>
      <c r="O11" s="19" t="n">
        <f aca="false">Volumen!O24*net_per</f>
        <v>140389.166319828</v>
      </c>
      <c r="P11" s="19" t="n">
        <f aca="false">Volumen!P24*net_per</f>
        <v>110833.552357759</v>
      </c>
      <c r="Q11" s="19" t="n">
        <f aca="false">Volumen!Q24*net_per</f>
        <v>51722.3244336207</v>
      </c>
      <c r="R11" s="19" t="n">
        <f aca="false">Volumen!R24*net_per</f>
        <v>54954.969710722</v>
      </c>
      <c r="S11" s="19" t="n">
        <f aca="false">Volumen!S24*net_per</f>
        <v>61420.2602649246</v>
      </c>
      <c r="T11" s="19" t="n">
        <f aca="false">Volumen!T24*net_per</f>
        <v>64652.9055420259</v>
      </c>
      <c r="U11" s="19" t="n">
        <f aca="false">Volumen!U24*net_per</f>
        <v>61420.2602649246</v>
      </c>
      <c r="V11" s="19" t="n">
        <f aca="false">Volumen!V24*net_per</f>
        <v>51722.3244336207</v>
      </c>
      <c r="W11" s="19" t="n">
        <f aca="false">Volumen!W24*net_per</f>
        <v>51722.3244336207</v>
      </c>
      <c r="X11" s="19" t="n">
        <f aca="false">Volumen!X24*net_per</f>
        <v>51722.3244336207</v>
      </c>
      <c r="Y11" s="19" t="n">
        <f aca="false">Volumen!Y24*net_per</f>
        <v>54954.969710722</v>
      </c>
      <c r="Z11" s="19" t="n">
        <f aca="false">Volumen!Z24*net_per</f>
        <v>118222.455848276</v>
      </c>
      <c r="AA11" s="19" t="n">
        <f aca="false">Volumen!AA24*net_per</f>
        <v>154428.08295181</v>
      </c>
      <c r="AB11" s="19" t="n">
        <f aca="false">Volumen!AB24*net_per</f>
        <v>121916.907593535</v>
      </c>
      <c r="AC11" s="19" t="n">
        <f aca="false">Volumen!AC24*net_per</f>
        <v>56894.5568769828</v>
      </c>
      <c r="AD11" s="19" t="n">
        <f aca="false">Volumen!AD24*net_per</f>
        <v>60450.4666817942</v>
      </c>
      <c r="AE11" s="19" t="n">
        <f aca="false">Volumen!AE24*net_per</f>
        <v>67562.286291417</v>
      </c>
      <c r="AF11" s="19" t="n">
        <f aca="false">Volumen!AF24*net_per</f>
        <v>71118.1960962285</v>
      </c>
      <c r="AG11" s="19" t="n">
        <f aca="false">Volumen!AG24*net_per</f>
        <v>67562.286291417</v>
      </c>
      <c r="AH11" s="19" t="n">
        <f aca="false">Volumen!AH24*net_per</f>
        <v>56894.5568769828</v>
      </c>
      <c r="AI11" s="19" t="n">
        <f aca="false">Volumen!AI24*net_per</f>
        <v>56894.5568769828</v>
      </c>
      <c r="AJ11" s="19" t="n">
        <f aca="false">Volumen!AJ24*net_per</f>
        <v>56894.5568769828</v>
      </c>
      <c r="AK11" s="19" t="n">
        <f aca="false">Volumen!AK24*net_per</f>
        <v>60450.4666817942</v>
      </c>
      <c r="AL11" s="19" t="n">
        <f aca="false">Volumen!AL24*net_per</f>
        <v>130044.701433103</v>
      </c>
      <c r="AM11" s="77" t="n">
        <f aca="false">SUMIF($C$5:$AL$5,1,$C11:$AL11)</f>
        <v>516443.321760129</v>
      </c>
      <c r="AN11" s="77" t="n">
        <f aca="false">SUMIF($C$5:$AL$5,2,$C11:$AL11)</f>
        <v>873737.837753664</v>
      </c>
      <c r="AO11" s="77" t="n">
        <f aca="false">SUMIF($C$5:$AL$5,3,$C11:$AL11)</f>
        <v>961111.62152903</v>
      </c>
    </row>
    <row r="12" customFormat="false" ht="15" hidden="false" customHeight="true" outlineLevel="0" collapsed="false">
      <c r="A12" s="5" t="s">
        <v>800</v>
      </c>
      <c r="C12" s="19" t="n">
        <f aca="false">Volumen!C29*net_parr</f>
        <v>0</v>
      </c>
      <c r="D12" s="19" t="n">
        <f aca="false">Volumen!D29*net_parr</f>
        <v>333.148706896552</v>
      </c>
      <c r="E12" s="19" t="n">
        <f aca="false">Volumen!E29*net_parr</f>
        <v>666.297413793104</v>
      </c>
      <c r="F12" s="19" t="n">
        <f aca="false">Volumen!F29*net_parr</f>
        <v>999.446120689655</v>
      </c>
      <c r="G12" s="19" t="n">
        <f aca="false">Volumen!G29*net_parr</f>
        <v>1332.59482758621</v>
      </c>
      <c r="H12" s="19" t="n">
        <f aca="false">Volumen!H29*net_parr</f>
        <v>1665.74353448276</v>
      </c>
      <c r="I12" s="19" t="n">
        <f aca="false">Volumen!I29*net_parr</f>
        <v>1998.89224137931</v>
      </c>
      <c r="J12" s="19" t="n">
        <f aca="false">Volumen!J29*net_parr</f>
        <v>1998.89224137931</v>
      </c>
      <c r="K12" s="19" t="n">
        <f aca="false">Volumen!K29*net_parr</f>
        <v>1998.89224137931</v>
      </c>
      <c r="L12" s="19" t="n">
        <f aca="false">Volumen!L29*net_parr</f>
        <v>1998.89224137931</v>
      </c>
      <c r="M12" s="19" t="n">
        <f aca="false">Volumen!M29*net_parr</f>
        <v>1998.89224137931</v>
      </c>
      <c r="N12" s="19" t="n">
        <f aca="false">Volumen!N29*net_parr</f>
        <v>1998.89224137931</v>
      </c>
      <c r="O12" s="19" t="n">
        <f aca="false">Volumen!O29*net_parr</f>
        <v>1998.89224137931</v>
      </c>
      <c r="P12" s="19" t="n">
        <f aca="false">Volumen!P29*net_parr</f>
        <v>1998.89224137931</v>
      </c>
      <c r="Q12" s="19" t="n">
        <f aca="false">Volumen!Q29*net_parr</f>
        <v>1998.89224137931</v>
      </c>
      <c r="R12" s="19" t="n">
        <f aca="false">Volumen!R29*net_parr</f>
        <v>1998.89224137931</v>
      </c>
      <c r="S12" s="19" t="n">
        <f aca="false">Volumen!S29*net_parr</f>
        <v>1998.89224137931</v>
      </c>
      <c r="T12" s="19" t="n">
        <f aca="false">Volumen!T29*net_parr</f>
        <v>1998.89224137931</v>
      </c>
      <c r="U12" s="19" t="n">
        <f aca="false">Volumen!U29*net_parr</f>
        <v>1998.89224137931</v>
      </c>
      <c r="V12" s="19" t="n">
        <f aca="false">Volumen!V29*net_parr</f>
        <v>1998.89224137931</v>
      </c>
      <c r="W12" s="19" t="n">
        <f aca="false">Volumen!W29*net_parr</f>
        <v>1998.89224137931</v>
      </c>
      <c r="X12" s="19" t="n">
        <f aca="false">Volumen!X29*net_parr</f>
        <v>1998.89224137931</v>
      </c>
      <c r="Y12" s="19" t="n">
        <f aca="false">Volumen!Y29*net_parr</f>
        <v>1998.89224137931</v>
      </c>
      <c r="Z12" s="19" t="n">
        <f aca="false">Volumen!Z29*net_parr</f>
        <v>1998.89224137931</v>
      </c>
      <c r="AA12" s="19" t="n">
        <f aca="false">Volumen!AA29*net_parr</f>
        <v>1998.89224137931</v>
      </c>
      <c r="AB12" s="19" t="n">
        <f aca="false">Volumen!AB29*net_parr</f>
        <v>1998.89224137931</v>
      </c>
      <c r="AC12" s="19" t="n">
        <f aca="false">Volumen!AC29*net_parr</f>
        <v>1998.89224137931</v>
      </c>
      <c r="AD12" s="19" t="n">
        <f aca="false">Volumen!AD29*net_parr</f>
        <v>1998.89224137931</v>
      </c>
      <c r="AE12" s="19" t="n">
        <f aca="false">Volumen!AE29*net_parr</f>
        <v>1998.89224137931</v>
      </c>
      <c r="AF12" s="19" t="n">
        <f aca="false">Volumen!AF29*net_parr</f>
        <v>1998.89224137931</v>
      </c>
      <c r="AG12" s="19" t="n">
        <f aca="false">Volumen!AG29*net_parr</f>
        <v>1998.89224137931</v>
      </c>
      <c r="AH12" s="19" t="n">
        <f aca="false">Volumen!AH29*net_parr</f>
        <v>1998.89224137931</v>
      </c>
      <c r="AI12" s="19" t="n">
        <f aca="false">Volumen!AI29*net_parr</f>
        <v>1998.89224137931</v>
      </c>
      <c r="AJ12" s="19" t="n">
        <f aca="false">Volumen!AJ29*net_parr</f>
        <v>1998.89224137931</v>
      </c>
      <c r="AK12" s="19" t="n">
        <f aca="false">Volumen!AK29*net_parr</f>
        <v>1998.89224137931</v>
      </c>
      <c r="AL12" s="19" t="n">
        <f aca="false">Volumen!AL29*net_parr</f>
        <v>1998.89224137931</v>
      </c>
      <c r="AM12" s="77" t="n">
        <f aca="false">SUMIF($C$5:$AL$5,1,$C12:$AL12)</f>
        <v>16990.5840517241</v>
      </c>
      <c r="AN12" s="77" t="n">
        <f aca="false">SUMIF($C$5:$AL$5,2,$C12:$AL12)</f>
        <v>23986.7068965517</v>
      </c>
      <c r="AO12" s="77" t="n">
        <f aca="false">SUMIF($C$5:$AL$5,3,$C12:$AL12)</f>
        <v>23986.7068965517</v>
      </c>
    </row>
    <row r="13" customFormat="false" ht="15" hidden="false" customHeight="true" outlineLevel="0" collapsed="false">
      <c r="A13" s="5" t="s">
        <v>801</v>
      </c>
      <c r="C13" s="19" t="n">
        <f aca="false">Volumen!C31*net_rest</f>
        <v>0</v>
      </c>
      <c r="D13" s="19" t="n">
        <f aca="false">Volumen!D31*net_rest</f>
        <v>0</v>
      </c>
      <c r="E13" s="19" t="n">
        <f aca="false">Volumen!E31*net_rest</f>
        <v>711.548987411057</v>
      </c>
      <c r="F13" s="19" t="n">
        <f aca="false">Volumen!F31*net_rest</f>
        <v>1423.09797482211</v>
      </c>
      <c r="G13" s="19" t="n">
        <f aca="false">Volumen!G31*net_rest</f>
        <v>2134.64696223317</v>
      </c>
      <c r="H13" s="19" t="n">
        <f aca="false">Volumen!H31*net_rest</f>
        <v>2846.19594964423</v>
      </c>
      <c r="I13" s="19" t="n">
        <f aca="false">Volumen!I31*net_rest</f>
        <v>3557.74493705528</v>
      </c>
      <c r="J13" s="19" t="n">
        <f aca="false">Volumen!J31*net_rest</f>
        <v>4269.29392446634</v>
      </c>
      <c r="K13" s="19" t="n">
        <f aca="false">Volumen!K31*net_rest</f>
        <v>4980.8429118774</v>
      </c>
      <c r="L13" s="19" t="n">
        <f aca="false">Volumen!L31*net_rest</f>
        <v>5692.39189928845</v>
      </c>
      <c r="M13" s="19" t="n">
        <f aca="false">Volumen!M31*net_rest</f>
        <v>6403.94088669951</v>
      </c>
      <c r="N13" s="19" t="n">
        <f aca="false">Volumen!N31*net_rest</f>
        <v>6403.94088669951</v>
      </c>
      <c r="O13" s="19" t="n">
        <f aca="false">Volumen!O31*net_rest</f>
        <v>6403.94088669951</v>
      </c>
      <c r="P13" s="19" t="n">
        <f aca="false">Volumen!P31*net_rest</f>
        <v>6403.94088669951</v>
      </c>
      <c r="Q13" s="19" t="n">
        <f aca="false">Volumen!Q31*net_rest</f>
        <v>6403.94088669951</v>
      </c>
      <c r="R13" s="19" t="n">
        <f aca="false">Volumen!R31*net_rest</f>
        <v>6403.94088669951</v>
      </c>
      <c r="S13" s="19" t="n">
        <f aca="false">Volumen!S31*net_rest</f>
        <v>6403.94088669951</v>
      </c>
      <c r="T13" s="19" t="n">
        <f aca="false">Volumen!T31*net_rest</f>
        <v>6403.94088669951</v>
      </c>
      <c r="U13" s="19" t="n">
        <f aca="false">Volumen!U31*net_rest</f>
        <v>6403.94088669951</v>
      </c>
      <c r="V13" s="19" t="n">
        <f aca="false">Volumen!V31*net_rest</f>
        <v>6403.94088669951</v>
      </c>
      <c r="W13" s="19" t="n">
        <f aca="false">Volumen!W31*net_rest</f>
        <v>6403.94088669951</v>
      </c>
      <c r="X13" s="19" t="n">
        <f aca="false">Volumen!X31*net_rest</f>
        <v>6403.94088669951</v>
      </c>
      <c r="Y13" s="19" t="n">
        <f aca="false">Volumen!Y31*net_rest</f>
        <v>6403.94088669951</v>
      </c>
      <c r="Z13" s="19" t="n">
        <f aca="false">Volumen!Z31*net_rest</f>
        <v>6403.94088669951</v>
      </c>
      <c r="AA13" s="19" t="n">
        <f aca="false">Volumen!AA31*net_rest</f>
        <v>6403.94088669951</v>
      </c>
      <c r="AB13" s="19" t="n">
        <f aca="false">Volumen!AB31*net_rest</f>
        <v>6403.94088669951</v>
      </c>
      <c r="AC13" s="19" t="n">
        <f aca="false">Volumen!AC31*net_rest</f>
        <v>6403.94088669951</v>
      </c>
      <c r="AD13" s="19" t="n">
        <f aca="false">Volumen!AD31*net_rest</f>
        <v>6403.94088669951</v>
      </c>
      <c r="AE13" s="19" t="n">
        <f aca="false">Volumen!AE31*net_rest</f>
        <v>6403.94088669951</v>
      </c>
      <c r="AF13" s="19" t="n">
        <f aca="false">Volumen!AF31*net_rest</f>
        <v>6403.94088669951</v>
      </c>
      <c r="AG13" s="19" t="n">
        <f aca="false">Volumen!AG31*net_rest</f>
        <v>6403.94088669951</v>
      </c>
      <c r="AH13" s="19" t="n">
        <f aca="false">Volumen!AH31*net_rest</f>
        <v>6403.94088669951</v>
      </c>
      <c r="AI13" s="19" t="n">
        <f aca="false">Volumen!AI31*net_rest</f>
        <v>6403.94088669951</v>
      </c>
      <c r="AJ13" s="19" t="n">
        <f aca="false">Volumen!AJ31*net_rest</f>
        <v>6403.94088669951</v>
      </c>
      <c r="AK13" s="19" t="n">
        <f aca="false">Volumen!AK31*net_rest</f>
        <v>6403.94088669951</v>
      </c>
      <c r="AL13" s="19" t="n">
        <f aca="false">Volumen!AL31*net_rest</f>
        <v>6403.94088669951</v>
      </c>
      <c r="AM13" s="77" t="n">
        <f aca="false">SUMIF($C$5:$AL$5,1,$C13:$AL13)</f>
        <v>38423.6453201971</v>
      </c>
      <c r="AN13" s="77" t="n">
        <f aca="false">SUMIF($C$5:$AL$5,2,$C13:$AL13)</f>
        <v>76847.2906403941</v>
      </c>
      <c r="AO13" s="77" t="n">
        <f aca="false">SUMIF($C$5:$AL$5,3,$C13:$AL13)</f>
        <v>76847.2906403941</v>
      </c>
    </row>
    <row r="14" customFormat="false" ht="15" hidden="false" customHeight="true" outlineLevel="0" collapsed="false">
      <c r="A14" s="5" t="s">
        <v>802</v>
      </c>
      <c r="C14" s="19" t="n">
        <f aca="false">Volumen!C33*net_recaud</f>
        <v>0</v>
      </c>
      <c r="D14" s="19" t="n">
        <f aca="false">Volumen!D33*net_recaud</f>
        <v>17741.3793103448</v>
      </c>
      <c r="E14" s="19" t="n">
        <f aca="false">Volumen!E33*net_recaud</f>
        <v>8870.68965517241</v>
      </c>
      <c r="F14" s="19" t="n">
        <f aca="false">Volumen!F33*net_recaud</f>
        <v>8870.68965517241</v>
      </c>
      <c r="G14" s="19" t="n">
        <f aca="false">Volumen!G33*net_recaud</f>
        <v>8870.68965517241</v>
      </c>
      <c r="H14" s="19" t="n">
        <f aca="false">Volumen!H33*net_recaud</f>
        <v>8870.68965517241</v>
      </c>
      <c r="I14" s="19" t="n">
        <f aca="false">Volumen!I33*net_recaud</f>
        <v>8870.68965517241</v>
      </c>
      <c r="J14" s="19" t="n">
        <f aca="false">Volumen!J33*net_recaud</f>
        <v>8870.68965517241</v>
      </c>
      <c r="K14" s="19" t="n">
        <f aca="false">Volumen!K33*net_recaud</f>
        <v>8870.68965517241</v>
      </c>
      <c r="L14" s="19" t="n">
        <f aca="false">Volumen!L33*net_recaud</f>
        <v>8870.68965517241</v>
      </c>
      <c r="M14" s="19" t="n">
        <f aca="false">Volumen!M33*net_recaud</f>
        <v>8870.68965517241</v>
      </c>
      <c r="N14" s="19" t="n">
        <f aca="false">Volumen!N33*net_recaud</f>
        <v>17741.3793103448</v>
      </c>
      <c r="O14" s="19" t="n">
        <f aca="false">Volumen!O33*net_recaud</f>
        <v>17741.3793103448</v>
      </c>
      <c r="P14" s="19" t="n">
        <f aca="false">Volumen!P33*net_recaud</f>
        <v>17741.3793103448</v>
      </c>
      <c r="Q14" s="19" t="n">
        <f aca="false">Volumen!Q33*net_recaud</f>
        <v>8870.68965517241</v>
      </c>
      <c r="R14" s="19" t="n">
        <f aca="false">Volumen!R33*net_recaud</f>
        <v>8870.68965517241</v>
      </c>
      <c r="S14" s="19" t="n">
        <f aca="false">Volumen!S33*net_recaud</f>
        <v>8870.68965517241</v>
      </c>
      <c r="T14" s="19" t="n">
        <f aca="false">Volumen!T33*net_recaud</f>
        <v>8870.68965517241</v>
      </c>
      <c r="U14" s="19" t="n">
        <f aca="false">Volumen!U33*net_recaud</f>
        <v>8870.68965517241</v>
      </c>
      <c r="V14" s="19" t="n">
        <f aca="false">Volumen!V33*net_recaud</f>
        <v>8870.68965517241</v>
      </c>
      <c r="W14" s="19" t="n">
        <f aca="false">Volumen!W33*net_recaud</f>
        <v>8870.68965517241</v>
      </c>
      <c r="X14" s="19" t="n">
        <f aca="false">Volumen!X33*net_recaud</f>
        <v>8870.68965517241</v>
      </c>
      <c r="Y14" s="19" t="n">
        <f aca="false">Volumen!Y33*net_recaud</f>
        <v>8870.68965517241</v>
      </c>
      <c r="Z14" s="19" t="n">
        <f aca="false">Volumen!Z33*net_recaud</f>
        <v>17741.3793103448</v>
      </c>
      <c r="AA14" s="19" t="n">
        <f aca="false">Volumen!AA33*net_recaud</f>
        <v>17741.3793103448</v>
      </c>
      <c r="AB14" s="19" t="n">
        <f aca="false">Volumen!AB33*net_recaud</f>
        <v>17741.3793103448</v>
      </c>
      <c r="AC14" s="19" t="n">
        <f aca="false">Volumen!AC33*net_recaud</f>
        <v>8870.68965517241</v>
      </c>
      <c r="AD14" s="19" t="n">
        <f aca="false">Volumen!AD33*net_recaud</f>
        <v>8870.68965517241</v>
      </c>
      <c r="AE14" s="19" t="n">
        <f aca="false">Volumen!AE33*net_recaud</f>
        <v>8870.68965517241</v>
      </c>
      <c r="AF14" s="19" t="n">
        <f aca="false">Volumen!AF33*net_recaud</f>
        <v>8870.68965517241</v>
      </c>
      <c r="AG14" s="19" t="n">
        <f aca="false">Volumen!AG33*net_recaud</f>
        <v>8870.68965517241</v>
      </c>
      <c r="AH14" s="19" t="n">
        <f aca="false">Volumen!AH33*net_recaud</f>
        <v>8870.68965517241</v>
      </c>
      <c r="AI14" s="19" t="n">
        <f aca="false">Volumen!AI33*net_recaud</f>
        <v>8870.68965517241</v>
      </c>
      <c r="AJ14" s="19" t="n">
        <f aca="false">Volumen!AJ33*net_recaud</f>
        <v>8870.68965517241</v>
      </c>
      <c r="AK14" s="19" t="n">
        <f aca="false">Volumen!AK33*net_recaud</f>
        <v>8870.68965517241</v>
      </c>
      <c r="AL14" s="19" t="n">
        <f aca="false">Volumen!AL33*net_recaud</f>
        <v>17741.3793103448</v>
      </c>
      <c r="AM14" s="77" t="n">
        <f aca="false">SUMIF($C$5:$AL$5,1,$C14:$AL14)</f>
        <v>115318.965517241</v>
      </c>
      <c r="AN14" s="77" t="n">
        <f aca="false">SUMIF($C$5:$AL$5,2,$C14:$AL14)</f>
        <v>133060.344827586</v>
      </c>
      <c r="AO14" s="77" t="n">
        <f aca="false">SUMIF($C$5:$AL$5,3,$C14:$AL14)</f>
        <v>133060.344827586</v>
      </c>
    </row>
    <row r="15" customFormat="false" ht="15" hidden="false" customHeight="true" outlineLevel="0" collapsed="false">
      <c r="A15" s="5" t="s">
        <v>803</v>
      </c>
      <c r="C15" s="19" t="n">
        <f aca="false">Volumen!C35*net_corp</f>
        <v>128793.103448276</v>
      </c>
      <c r="D15" s="19" t="n">
        <f aca="false">Volumen!D35*net_corp</f>
        <v>128793.103448276</v>
      </c>
      <c r="E15" s="19" t="n">
        <f aca="false">Volumen!E35*net_corp</f>
        <v>0</v>
      </c>
      <c r="F15" s="19" t="n">
        <f aca="false">Volumen!F35*net_corp</f>
        <v>0</v>
      </c>
      <c r="G15" s="19" t="n">
        <f aca="false">Volumen!G35*net_corp</f>
        <v>0</v>
      </c>
      <c r="H15" s="19" t="n">
        <f aca="false">Volumen!H35*net_corp</f>
        <v>0</v>
      </c>
      <c r="I15" s="19" t="n">
        <f aca="false">Volumen!I35*net_corp</f>
        <v>0</v>
      </c>
      <c r="J15" s="19" t="n">
        <f aca="false">Volumen!J35*net_corp</f>
        <v>0</v>
      </c>
      <c r="K15" s="19" t="n">
        <f aca="false">Volumen!K35*net_corp</f>
        <v>0</v>
      </c>
      <c r="L15" s="19" t="n">
        <f aca="false">Volumen!L35*net_corp</f>
        <v>0</v>
      </c>
      <c r="M15" s="19" t="n">
        <f aca="false">Volumen!M35*net_corp</f>
        <v>0</v>
      </c>
      <c r="N15" s="19" t="n">
        <f aca="false">Volumen!N35*net_corp</f>
        <v>0</v>
      </c>
      <c r="O15" s="19" t="n">
        <f aca="false">Volumen!O35*net_corp</f>
        <v>128793.103448276</v>
      </c>
      <c r="P15" s="19" t="n">
        <f aca="false">Volumen!P35*net_corp</f>
        <v>128793.103448276</v>
      </c>
      <c r="Q15" s="19" t="n">
        <f aca="false">Volumen!Q35*net_corp</f>
        <v>0</v>
      </c>
      <c r="R15" s="19" t="n">
        <f aca="false">Volumen!R35*net_corp</f>
        <v>0</v>
      </c>
      <c r="S15" s="19" t="n">
        <f aca="false">Volumen!S35*net_corp</f>
        <v>0</v>
      </c>
      <c r="T15" s="19" t="n">
        <f aca="false">Volumen!T35*net_corp</f>
        <v>0</v>
      </c>
      <c r="U15" s="19" t="n">
        <f aca="false">Volumen!U35*net_corp</f>
        <v>0</v>
      </c>
      <c r="V15" s="19" t="n">
        <f aca="false">Volumen!V35*net_corp</f>
        <v>0</v>
      </c>
      <c r="W15" s="19" t="n">
        <f aca="false">Volumen!W35*net_corp</f>
        <v>0</v>
      </c>
      <c r="X15" s="19" t="n">
        <f aca="false">Volumen!X35*net_corp</f>
        <v>0</v>
      </c>
      <c r="Y15" s="19" t="n">
        <f aca="false">Volumen!Y35*net_corp</f>
        <v>0</v>
      </c>
      <c r="Z15" s="19" t="n">
        <f aca="false">Volumen!Z35*net_corp</f>
        <v>0</v>
      </c>
      <c r="AA15" s="19" t="n">
        <f aca="false">Volumen!AA35*net_corp</f>
        <v>128793.103448276</v>
      </c>
      <c r="AB15" s="19" t="n">
        <f aca="false">Volumen!AB35*net_corp</f>
        <v>128793.103448276</v>
      </c>
      <c r="AC15" s="19" t="n">
        <f aca="false">Volumen!AC35*net_corp</f>
        <v>0</v>
      </c>
      <c r="AD15" s="19" t="n">
        <f aca="false">Volumen!AD35*net_corp</f>
        <v>0</v>
      </c>
      <c r="AE15" s="19" t="n">
        <f aca="false">Volumen!AE35*net_corp</f>
        <v>0</v>
      </c>
      <c r="AF15" s="19" t="n">
        <f aca="false">Volumen!AF35*net_corp</f>
        <v>0</v>
      </c>
      <c r="AG15" s="19" t="n">
        <f aca="false">Volumen!AG35*net_corp</f>
        <v>0</v>
      </c>
      <c r="AH15" s="19" t="n">
        <f aca="false">Volumen!AH35*net_corp</f>
        <v>0</v>
      </c>
      <c r="AI15" s="19" t="n">
        <f aca="false">Volumen!AI35*net_corp</f>
        <v>0</v>
      </c>
      <c r="AJ15" s="19" t="n">
        <f aca="false">Volumen!AJ35*net_corp</f>
        <v>0</v>
      </c>
      <c r="AK15" s="19" t="n">
        <f aca="false">Volumen!AK35*net_corp</f>
        <v>0</v>
      </c>
      <c r="AL15" s="19" t="n">
        <f aca="false">Volumen!AL35*net_corp</f>
        <v>0</v>
      </c>
      <c r="AM15" s="77" t="n">
        <f aca="false">SUMIF($C$5:$AL$5,1,$C15:$AL15)</f>
        <v>257586.206896552</v>
      </c>
      <c r="AN15" s="77" t="n">
        <f aca="false">SUMIF($C$5:$AL$5,2,$C15:$AL15)</f>
        <v>257586.206896552</v>
      </c>
      <c r="AO15" s="77" t="n">
        <f aca="false">SUMIF($C$5:$AL$5,3,$C15:$AL15)</f>
        <v>257586.206896552</v>
      </c>
    </row>
    <row r="16" customFormat="false" ht="15" hidden="false" customHeight="true" outlineLevel="0" collapsed="false">
      <c r="A16" s="5" t="s">
        <v>724</v>
      </c>
      <c r="C16" s="19" t="n">
        <f aca="false">Volumen!C36*net_prem</f>
        <v>0</v>
      </c>
      <c r="D16" s="19" t="n">
        <f aca="false">Volumen!D36*net_prem</f>
        <v>0</v>
      </c>
      <c r="E16" s="19" t="n">
        <f aca="false">Volumen!E36*net_prem</f>
        <v>0</v>
      </c>
      <c r="F16" s="19" t="n">
        <f aca="false">Volumen!F36*net_prem</f>
        <v>23356.6810344828</v>
      </c>
      <c r="G16" s="19" t="n">
        <f aca="false">Volumen!G36*net_prem</f>
        <v>26104.525862069</v>
      </c>
      <c r="H16" s="19" t="n">
        <f aca="false">Volumen!H36*net_prem</f>
        <v>27478.4482758621</v>
      </c>
      <c r="I16" s="19" t="n">
        <f aca="false">Volumen!I36*net_prem</f>
        <v>26104.525862069</v>
      </c>
      <c r="J16" s="19" t="n">
        <f aca="false">Volumen!J36*net_prem</f>
        <v>21982.7586206897</v>
      </c>
      <c r="K16" s="19" t="n">
        <f aca="false">Volumen!K36*net_prem</f>
        <v>21982.7586206897</v>
      </c>
      <c r="L16" s="19" t="n">
        <f aca="false">Volumen!L36*net_prem</f>
        <v>21982.7586206897</v>
      </c>
      <c r="M16" s="19" t="n">
        <f aca="false">Volumen!M36*net_prem</f>
        <v>23356.6810344828</v>
      </c>
      <c r="N16" s="19" t="n">
        <f aca="false">Volumen!N36*net_prem</f>
        <v>43965.5172413793</v>
      </c>
      <c r="O16" s="19" t="n">
        <f aca="false">Volumen!O36*net_prem</f>
        <v>52209.0517241379</v>
      </c>
      <c r="P16" s="19" t="n">
        <f aca="false">Volumen!P36*net_prem</f>
        <v>41217.6724137931</v>
      </c>
      <c r="Q16" s="19" t="n">
        <f aca="false">Volumen!Q36*net_prem</f>
        <v>21982.7586206897</v>
      </c>
      <c r="R16" s="19" t="n">
        <f aca="false">Volumen!R36*net_prem</f>
        <v>23356.6810344828</v>
      </c>
      <c r="S16" s="19" t="n">
        <f aca="false">Volumen!S36*net_prem</f>
        <v>26104.525862069</v>
      </c>
      <c r="T16" s="19" t="n">
        <f aca="false">Volumen!T36*net_prem</f>
        <v>27478.4482758621</v>
      </c>
      <c r="U16" s="19" t="n">
        <f aca="false">Volumen!U36*net_prem</f>
        <v>26104.525862069</v>
      </c>
      <c r="V16" s="19" t="n">
        <f aca="false">Volumen!V36*net_prem</f>
        <v>21982.7586206897</v>
      </c>
      <c r="W16" s="19" t="n">
        <f aca="false">Volumen!W36*net_prem</f>
        <v>21982.7586206897</v>
      </c>
      <c r="X16" s="19" t="n">
        <f aca="false">Volumen!X36*net_prem</f>
        <v>21982.7586206897</v>
      </c>
      <c r="Y16" s="19" t="n">
        <f aca="false">Volumen!Y36*net_prem</f>
        <v>23356.6810344828</v>
      </c>
      <c r="Z16" s="19" t="n">
        <f aca="false">Volumen!Z36*net_prem</f>
        <v>43965.5172413793</v>
      </c>
      <c r="AA16" s="19" t="n">
        <f aca="false">Volumen!AA36*net_prem</f>
        <v>52209.0517241379</v>
      </c>
      <c r="AB16" s="19" t="n">
        <f aca="false">Volumen!AB36*net_prem</f>
        <v>41217.6724137931</v>
      </c>
      <c r="AC16" s="19" t="n">
        <f aca="false">Volumen!AC36*net_prem</f>
        <v>21982.7586206897</v>
      </c>
      <c r="AD16" s="19" t="n">
        <f aca="false">Volumen!AD36*net_prem</f>
        <v>23356.6810344828</v>
      </c>
      <c r="AE16" s="19" t="n">
        <f aca="false">Volumen!AE36*net_prem</f>
        <v>26104.525862069</v>
      </c>
      <c r="AF16" s="19" t="n">
        <f aca="false">Volumen!AF36*net_prem</f>
        <v>27478.4482758621</v>
      </c>
      <c r="AG16" s="19" t="n">
        <f aca="false">Volumen!AG36*net_prem</f>
        <v>26104.525862069</v>
      </c>
      <c r="AH16" s="19" t="n">
        <f aca="false">Volumen!AH36*net_prem</f>
        <v>21982.7586206897</v>
      </c>
      <c r="AI16" s="19" t="n">
        <f aca="false">Volumen!AI36*net_prem</f>
        <v>21982.7586206897</v>
      </c>
      <c r="AJ16" s="19" t="n">
        <f aca="false">Volumen!AJ36*net_prem</f>
        <v>21982.7586206897</v>
      </c>
      <c r="AK16" s="19" t="n">
        <f aca="false">Volumen!AK36*net_prem</f>
        <v>23356.6810344828</v>
      </c>
      <c r="AL16" s="19" t="n">
        <f aca="false">Volumen!AL36*net_prem</f>
        <v>43965.5172413793</v>
      </c>
      <c r="AM16" s="77" t="n">
        <f aca="false">SUMIF($C$5:$AL$5,1,$C16:$AL16)</f>
        <v>236314.655172414</v>
      </c>
      <c r="AN16" s="77" t="n">
        <f aca="false">SUMIF($C$5:$AL$5,2,$C16:$AL16)</f>
        <v>351724.137931035</v>
      </c>
      <c r="AO16" s="77" t="n">
        <f aca="false">SUMIF($C$5:$AL$5,3,$C16:$AL16)</f>
        <v>351724.137931035</v>
      </c>
    </row>
    <row r="17" customFormat="false" ht="15" hidden="false" customHeight="true" outlineLevel="0" collapsed="false">
      <c r="A17" s="5" t="s">
        <v>783</v>
      </c>
      <c r="C17" s="19" t="n">
        <f aca="false">Volumen!C37*net_recp</f>
        <v>0</v>
      </c>
      <c r="D17" s="19" t="n">
        <f aca="false">Volumen!D37*net_recp</f>
        <v>0</v>
      </c>
      <c r="E17" s="19" t="n">
        <f aca="false">Volumen!E37*net_recp</f>
        <v>0</v>
      </c>
      <c r="F17" s="19" t="n">
        <f aca="false">Volumen!F37*net_recp</f>
        <v>0</v>
      </c>
      <c r="G17" s="19" t="n">
        <f aca="false">Volumen!G37*net_recp</f>
        <v>0</v>
      </c>
      <c r="H17" s="19" t="n">
        <f aca="false">Volumen!H37*net_recp</f>
        <v>6896.55172413793</v>
      </c>
      <c r="I17" s="19" t="n">
        <f aca="false">Volumen!I37*net_recp</f>
        <v>6896.55172413793</v>
      </c>
      <c r="J17" s="19" t="n">
        <f aca="false">Volumen!J37*net_recp</f>
        <v>6896.55172413793</v>
      </c>
      <c r="K17" s="19" t="n">
        <f aca="false">Volumen!K37*net_recp</f>
        <v>6896.55172413793</v>
      </c>
      <c r="L17" s="19" t="n">
        <f aca="false">Volumen!L37*net_recp</f>
        <v>6896.55172413793</v>
      </c>
      <c r="M17" s="19" t="n">
        <f aca="false">Volumen!M37*net_recp</f>
        <v>6896.55172413793</v>
      </c>
      <c r="N17" s="19" t="n">
        <f aca="false">Volumen!N37*net_recp</f>
        <v>6896.55172413793</v>
      </c>
      <c r="O17" s="19" t="n">
        <f aca="false">Volumen!O37*net_recp</f>
        <v>6896.55172413793</v>
      </c>
      <c r="P17" s="19" t="n">
        <f aca="false">Volumen!P37*net_recp</f>
        <v>6896.55172413793</v>
      </c>
      <c r="Q17" s="19" t="n">
        <f aca="false">Volumen!Q37*net_recp</f>
        <v>6896.55172413793</v>
      </c>
      <c r="R17" s="19" t="n">
        <f aca="false">Volumen!R37*net_recp</f>
        <v>6896.55172413793</v>
      </c>
      <c r="S17" s="19" t="n">
        <f aca="false">Volumen!S37*net_recp</f>
        <v>6896.55172413793</v>
      </c>
      <c r="T17" s="19" t="n">
        <f aca="false">Volumen!T37*net_recp</f>
        <v>6896.55172413793</v>
      </c>
      <c r="U17" s="19" t="n">
        <f aca="false">Volumen!U37*net_recp</f>
        <v>6896.55172413793</v>
      </c>
      <c r="V17" s="19" t="n">
        <f aca="false">Volumen!V37*net_recp</f>
        <v>6896.55172413793</v>
      </c>
      <c r="W17" s="19" t="n">
        <f aca="false">Volumen!W37*net_recp</f>
        <v>6896.55172413793</v>
      </c>
      <c r="X17" s="19" t="n">
        <f aca="false">Volumen!X37*net_recp</f>
        <v>6896.55172413793</v>
      </c>
      <c r="Y17" s="19" t="n">
        <f aca="false">Volumen!Y37*net_recp</f>
        <v>6896.55172413793</v>
      </c>
      <c r="Z17" s="19" t="n">
        <f aca="false">Volumen!Z37*net_recp</f>
        <v>6896.55172413793</v>
      </c>
      <c r="AA17" s="19" t="n">
        <f aca="false">Volumen!AA37*net_recp</f>
        <v>6896.55172413793</v>
      </c>
      <c r="AB17" s="19" t="n">
        <f aca="false">Volumen!AB37*net_recp</f>
        <v>6896.55172413793</v>
      </c>
      <c r="AC17" s="19" t="n">
        <f aca="false">Volumen!AC37*net_recp</f>
        <v>6896.55172413793</v>
      </c>
      <c r="AD17" s="19" t="n">
        <f aca="false">Volumen!AD37*net_recp</f>
        <v>6896.55172413793</v>
      </c>
      <c r="AE17" s="19" t="n">
        <f aca="false">Volumen!AE37*net_recp</f>
        <v>6896.55172413793</v>
      </c>
      <c r="AF17" s="19" t="n">
        <f aca="false">Volumen!AF37*net_recp</f>
        <v>6896.55172413793</v>
      </c>
      <c r="AG17" s="19" t="n">
        <f aca="false">Volumen!AG37*net_recp</f>
        <v>6896.55172413793</v>
      </c>
      <c r="AH17" s="19" t="n">
        <f aca="false">Volumen!AH37*net_recp</f>
        <v>6896.55172413793</v>
      </c>
      <c r="AI17" s="19" t="n">
        <f aca="false">Volumen!AI37*net_recp</f>
        <v>6896.55172413793</v>
      </c>
      <c r="AJ17" s="19" t="n">
        <f aca="false">Volumen!AJ37*net_recp</f>
        <v>6896.55172413793</v>
      </c>
      <c r="AK17" s="19" t="n">
        <f aca="false">Volumen!AK37*net_recp</f>
        <v>6896.55172413793</v>
      </c>
      <c r="AL17" s="19" t="n">
        <f aca="false">Volumen!AL37*net_recp</f>
        <v>6896.55172413793</v>
      </c>
      <c r="AM17" s="77" t="n">
        <f aca="false">SUMIF($C$5:$AL$5,1,$C17:$AL17)</f>
        <v>48275.8620689655</v>
      </c>
      <c r="AN17" s="77" t="n">
        <f aca="false">SUMIF($C$5:$AL$5,2,$C17:$AL17)</f>
        <v>82758.6206896552</v>
      </c>
      <c r="AO17" s="77" t="n">
        <f aca="false">SUMIF($C$5:$AL$5,3,$C17:$AL17)</f>
        <v>82758.6206896552</v>
      </c>
    </row>
    <row r="18" customFormat="false" ht="15" hidden="false" customHeight="true" outlineLevel="0" collapsed="false">
      <c r="A18" s="5" t="s">
        <v>804</v>
      </c>
      <c r="C18" s="19" t="n">
        <f aca="false">Volumen!C38*ticket_ins/(1+iva)</f>
        <v>0</v>
      </c>
      <c r="D18" s="19" t="n">
        <f aca="false">Volumen!D38*ticket_ins/(1+iva)</f>
        <v>8863.14655172414</v>
      </c>
      <c r="E18" s="19" t="n">
        <f aca="false">Volumen!E38*ticket_ins/(1+iva)</f>
        <v>17726.2931034483</v>
      </c>
      <c r="F18" s="19" t="n">
        <f aca="false">Volumen!F38*ticket_ins/(1+iva)</f>
        <v>26589.4396551724</v>
      </c>
      <c r="G18" s="19" t="n">
        <f aca="false">Volumen!G38*ticket_ins/(1+iva)</f>
        <v>35452.5862068966</v>
      </c>
      <c r="H18" s="19" t="n">
        <f aca="false">Volumen!H38*ticket_ins/(1+iva)</f>
        <v>44315.7327586207</v>
      </c>
      <c r="I18" s="19" t="n">
        <f aca="false">Volumen!I38*ticket_ins/(1+iva)</f>
        <v>53178.8793103448</v>
      </c>
      <c r="J18" s="19" t="n">
        <f aca="false">Volumen!J38*ticket_ins/(1+iva)</f>
        <v>62042.025862069</v>
      </c>
      <c r="K18" s="19" t="n">
        <f aca="false">Volumen!K38*ticket_ins/(1+iva)</f>
        <v>70905.1724137931</v>
      </c>
      <c r="L18" s="19" t="n">
        <f aca="false">Volumen!L38*ticket_ins/(1+iva)</f>
        <v>70905.1724137931</v>
      </c>
      <c r="M18" s="19" t="n">
        <f aca="false">Volumen!M38*ticket_ins/(1+iva)</f>
        <v>70905.1724137931</v>
      </c>
      <c r="N18" s="19" t="n">
        <f aca="false">Volumen!N38*ticket_ins/(1+iva)</f>
        <v>70905.1724137931</v>
      </c>
      <c r="O18" s="19" t="n">
        <f aca="false">Volumen!O38*ticket_ins/(1+iva)</f>
        <v>70905.1724137931</v>
      </c>
      <c r="P18" s="19" t="n">
        <f aca="false">Volumen!P38*ticket_ins/(1+iva)</f>
        <v>70905.1724137931</v>
      </c>
      <c r="Q18" s="19" t="n">
        <f aca="false">Volumen!Q38*ticket_ins/(1+iva)</f>
        <v>70905.1724137931</v>
      </c>
      <c r="R18" s="19" t="n">
        <f aca="false">Volumen!R38*ticket_ins/(1+iva)</f>
        <v>70905.1724137931</v>
      </c>
      <c r="S18" s="19" t="n">
        <f aca="false">Volumen!S38*ticket_ins/(1+iva)</f>
        <v>70905.1724137931</v>
      </c>
      <c r="T18" s="19" t="n">
        <f aca="false">Volumen!T38*ticket_ins/(1+iva)</f>
        <v>70905.1724137931</v>
      </c>
      <c r="U18" s="19" t="n">
        <f aca="false">Volumen!U38*ticket_ins/(1+iva)</f>
        <v>70905.1724137931</v>
      </c>
      <c r="V18" s="19" t="n">
        <f aca="false">Volumen!V38*ticket_ins/(1+iva)</f>
        <v>70905.1724137931</v>
      </c>
      <c r="W18" s="19" t="n">
        <f aca="false">Volumen!W38*ticket_ins/(1+iva)</f>
        <v>70905.1724137931</v>
      </c>
      <c r="X18" s="19" t="n">
        <f aca="false">Volumen!X38*ticket_ins/(1+iva)</f>
        <v>70905.1724137931</v>
      </c>
      <c r="Y18" s="19" t="n">
        <f aca="false">Volumen!Y38*ticket_ins/(1+iva)</f>
        <v>70905.1724137931</v>
      </c>
      <c r="Z18" s="19" t="n">
        <f aca="false">Volumen!Z38*ticket_ins/(1+iva)</f>
        <v>70905.1724137931</v>
      </c>
      <c r="AA18" s="19" t="n">
        <f aca="false">Volumen!AA38*ticket_ins/(1+iva)</f>
        <v>70905.1724137931</v>
      </c>
      <c r="AB18" s="19" t="n">
        <f aca="false">Volumen!AB38*ticket_ins/(1+iva)</f>
        <v>70905.1724137931</v>
      </c>
      <c r="AC18" s="19" t="n">
        <f aca="false">Volumen!AC38*ticket_ins/(1+iva)</f>
        <v>70905.1724137931</v>
      </c>
      <c r="AD18" s="19" t="n">
        <f aca="false">Volumen!AD38*ticket_ins/(1+iva)</f>
        <v>70905.1724137931</v>
      </c>
      <c r="AE18" s="19" t="n">
        <f aca="false">Volumen!AE38*ticket_ins/(1+iva)</f>
        <v>70905.1724137931</v>
      </c>
      <c r="AF18" s="19" t="n">
        <f aca="false">Volumen!AF38*ticket_ins/(1+iva)</f>
        <v>70905.1724137931</v>
      </c>
      <c r="AG18" s="19" t="n">
        <f aca="false">Volumen!AG38*ticket_ins/(1+iva)</f>
        <v>70905.1724137931</v>
      </c>
      <c r="AH18" s="19" t="n">
        <f aca="false">Volumen!AH38*ticket_ins/(1+iva)</f>
        <v>70905.1724137931</v>
      </c>
      <c r="AI18" s="19" t="n">
        <f aca="false">Volumen!AI38*ticket_ins/(1+iva)</f>
        <v>70905.1724137931</v>
      </c>
      <c r="AJ18" s="19" t="n">
        <f aca="false">Volumen!AJ38*ticket_ins/(1+iva)</f>
        <v>70905.1724137931</v>
      </c>
      <c r="AK18" s="19" t="n">
        <f aca="false">Volumen!AK38*ticket_ins/(1+iva)</f>
        <v>70905.1724137931</v>
      </c>
      <c r="AL18" s="19" t="n">
        <f aca="false">Volumen!AL38*ticket_ins/(1+iva)</f>
        <v>70905.1724137931</v>
      </c>
      <c r="AM18" s="77" t="n">
        <f aca="false">SUMIF($C$5:$AL$5,1,$C18:$AL18)</f>
        <v>531788.793103448</v>
      </c>
      <c r="AN18" s="77" t="n">
        <f aca="false">SUMIF($C$5:$AL$5,2,$C18:$AL18)</f>
        <v>850862.068965517</v>
      </c>
      <c r="AO18" s="77" t="n">
        <f aca="false">SUMIF($C$5:$AL$5,3,$C18:$AL18)</f>
        <v>850862.068965517</v>
      </c>
    </row>
    <row r="19" customFormat="false" ht="15" hidden="false" customHeight="true" outlineLevel="0" collapsed="false">
      <c r="A19" s="5" t="s">
        <v>785</v>
      </c>
      <c r="C19" s="19" t="n">
        <f aca="false">Volumen!C40*p_taller/(1+iva)</f>
        <v>0</v>
      </c>
      <c r="D19" s="19" t="n">
        <f aca="false">Volumen!D40*p_taller/(1+iva)</f>
        <v>31034.4827586207</v>
      </c>
      <c r="E19" s="19" t="n">
        <f aca="false">Volumen!E40*p_taller/(1+iva)</f>
        <v>31034.4827586207</v>
      </c>
      <c r="F19" s="19" t="n">
        <f aca="false">Volumen!F40*p_taller/(1+iva)</f>
        <v>31034.4827586207</v>
      </c>
      <c r="G19" s="19" t="n">
        <f aca="false">Volumen!G40*p_taller/(1+iva)</f>
        <v>31034.4827586207</v>
      </c>
      <c r="H19" s="19" t="n">
        <f aca="false">Volumen!H40*p_taller/(1+iva)</f>
        <v>31034.4827586207</v>
      </c>
      <c r="I19" s="19" t="n">
        <f aca="false">Volumen!I40*p_taller/(1+iva)</f>
        <v>31034.4827586207</v>
      </c>
      <c r="J19" s="19" t="n">
        <f aca="false">Volumen!J40*p_taller/(1+iva)</f>
        <v>31034.4827586207</v>
      </c>
      <c r="K19" s="19" t="n">
        <f aca="false">Volumen!K40*p_taller/(1+iva)</f>
        <v>31034.4827586207</v>
      </c>
      <c r="L19" s="19" t="n">
        <f aca="false">Volumen!L40*p_taller/(1+iva)</f>
        <v>31034.4827586207</v>
      </c>
      <c r="M19" s="19" t="n">
        <f aca="false">Volumen!M40*p_taller/(1+iva)</f>
        <v>31034.4827586207</v>
      </c>
      <c r="N19" s="19" t="n">
        <f aca="false">Volumen!N40*p_taller/(1+iva)</f>
        <v>31034.4827586207</v>
      </c>
      <c r="O19" s="19" t="n">
        <f aca="false">Volumen!O40*p_taller/(1+iva)</f>
        <v>31034.4827586207</v>
      </c>
      <c r="P19" s="19" t="n">
        <f aca="false">Volumen!P40*p_taller/(1+iva)</f>
        <v>31034.4827586207</v>
      </c>
      <c r="Q19" s="19" t="n">
        <f aca="false">Volumen!Q40*p_taller/(1+iva)</f>
        <v>31034.4827586207</v>
      </c>
      <c r="R19" s="19" t="n">
        <f aca="false">Volumen!R40*p_taller/(1+iva)</f>
        <v>31034.4827586207</v>
      </c>
      <c r="S19" s="19" t="n">
        <f aca="false">Volumen!S40*p_taller/(1+iva)</f>
        <v>31034.4827586207</v>
      </c>
      <c r="T19" s="19" t="n">
        <f aca="false">Volumen!T40*p_taller/(1+iva)</f>
        <v>31034.4827586207</v>
      </c>
      <c r="U19" s="19" t="n">
        <f aca="false">Volumen!U40*p_taller/(1+iva)</f>
        <v>31034.4827586207</v>
      </c>
      <c r="V19" s="19" t="n">
        <f aca="false">Volumen!V40*p_taller/(1+iva)</f>
        <v>31034.4827586207</v>
      </c>
      <c r="W19" s="19" t="n">
        <f aca="false">Volumen!W40*p_taller/(1+iva)</f>
        <v>31034.4827586207</v>
      </c>
      <c r="X19" s="19" t="n">
        <f aca="false">Volumen!X40*p_taller/(1+iva)</f>
        <v>31034.4827586207</v>
      </c>
      <c r="Y19" s="19" t="n">
        <f aca="false">Volumen!Y40*p_taller/(1+iva)</f>
        <v>31034.4827586207</v>
      </c>
      <c r="Z19" s="19" t="n">
        <f aca="false">Volumen!Z40*p_taller/(1+iva)</f>
        <v>31034.4827586207</v>
      </c>
      <c r="AA19" s="19" t="n">
        <f aca="false">Volumen!AA40*p_taller/(1+iva)</f>
        <v>31034.4827586207</v>
      </c>
      <c r="AB19" s="19" t="n">
        <f aca="false">Volumen!AB40*p_taller/(1+iva)</f>
        <v>31034.4827586207</v>
      </c>
      <c r="AC19" s="19" t="n">
        <f aca="false">Volumen!AC40*p_taller/(1+iva)</f>
        <v>31034.4827586207</v>
      </c>
      <c r="AD19" s="19" t="n">
        <f aca="false">Volumen!AD40*p_taller/(1+iva)</f>
        <v>31034.4827586207</v>
      </c>
      <c r="AE19" s="19" t="n">
        <f aca="false">Volumen!AE40*p_taller/(1+iva)</f>
        <v>31034.4827586207</v>
      </c>
      <c r="AF19" s="19" t="n">
        <f aca="false">Volumen!AF40*p_taller/(1+iva)</f>
        <v>31034.4827586207</v>
      </c>
      <c r="AG19" s="19" t="n">
        <f aca="false">Volumen!AG40*p_taller/(1+iva)</f>
        <v>31034.4827586207</v>
      </c>
      <c r="AH19" s="19" t="n">
        <f aca="false">Volumen!AH40*p_taller/(1+iva)</f>
        <v>31034.4827586207</v>
      </c>
      <c r="AI19" s="19" t="n">
        <f aca="false">Volumen!AI40*p_taller/(1+iva)</f>
        <v>31034.4827586207</v>
      </c>
      <c r="AJ19" s="19" t="n">
        <f aca="false">Volumen!AJ40*p_taller/(1+iva)</f>
        <v>31034.4827586207</v>
      </c>
      <c r="AK19" s="19" t="n">
        <f aca="false">Volumen!AK40*p_taller/(1+iva)</f>
        <v>31034.4827586207</v>
      </c>
      <c r="AL19" s="19" t="n">
        <f aca="false">Volumen!AL40*p_taller/(1+iva)</f>
        <v>31034.4827586207</v>
      </c>
      <c r="AM19" s="77" t="n">
        <f aca="false">SUMIF($C$5:$AL$5,1,$C19:$AL19)</f>
        <v>341379.310344828</v>
      </c>
      <c r="AN19" s="77" t="n">
        <f aca="false">SUMIF($C$5:$AL$5,2,$C19:$AL19)</f>
        <v>372413.793103448</v>
      </c>
      <c r="AO19" s="77" t="n">
        <f aca="false">SUMIF($C$5:$AL$5,3,$C19:$AL19)</f>
        <v>372413.793103448</v>
      </c>
    </row>
    <row r="20" customFormat="false" ht="15" hidden="false" customHeight="true" outlineLevel="0" collapsed="false">
      <c r="A20" s="78" t="s">
        <v>805</v>
      </c>
      <c r="C20" s="79" t="n">
        <f aca="false">SUM(C8:C19)</f>
        <v>248807.478512716</v>
      </c>
      <c r="D20" s="79" t="n">
        <f aca="false">SUM(D8:D19)</f>
        <v>254980.309873922</v>
      </c>
      <c r="E20" s="79" t="n">
        <f aca="false">SUM(E8:E19)</f>
        <v>189197.138422756</v>
      </c>
      <c r="F20" s="79" t="n">
        <f aca="false">SUM(F8:F19)</f>
        <v>281094.546635598</v>
      </c>
      <c r="G20" s="79" t="n">
        <f aca="false">SUM(G8:G19)</f>
        <v>370182.386674572</v>
      </c>
      <c r="H20" s="79" t="n">
        <f aca="false">SUM(H8:H19)</f>
        <v>462698.824490593</v>
      </c>
      <c r="I20" s="79" t="n">
        <f aca="false">SUM(I8:I19)</f>
        <v>516254.424288726</v>
      </c>
      <c r="J20" s="79" t="n">
        <f aca="false">SUM(J8:J19)</f>
        <v>518566.305286535</v>
      </c>
      <c r="K20" s="79" t="n">
        <f aca="false">SUM(K8:K19)</f>
        <v>481714.435653257</v>
      </c>
      <c r="L20" s="79" t="n">
        <f aca="false">SUM(L8:L19)</f>
        <v>482425.984640668</v>
      </c>
      <c r="M20" s="79" t="n">
        <f aca="false">SUM(M8:M19)</f>
        <v>505451.771374846</v>
      </c>
      <c r="N20" s="79" t="n">
        <f aca="false">SUM(N8:N19)</f>
        <v>906573.126955665</v>
      </c>
      <c r="O20" s="79" t="n">
        <f aca="false">SUM(O8:O19)</f>
        <v>1266445.59194036</v>
      </c>
      <c r="P20" s="79" t="n">
        <f aca="false">SUM(P8:P19)</f>
        <v>1055356.73527571</v>
      </c>
      <c r="Q20" s="79" t="n">
        <f aca="false">SUM(Q8:Q19)</f>
        <v>516642.038160837</v>
      </c>
      <c r="R20" s="79" t="n">
        <f aca="false">SUM(R8:R19)</f>
        <v>541050.307440902</v>
      </c>
      <c r="S20" s="79" t="n">
        <f aca="false">SUM(S8:S19)</f>
        <v>589866.846001032</v>
      </c>
      <c r="T20" s="79" t="n">
        <f aca="false">SUM(T8:T19)</f>
        <v>614275.115281096</v>
      </c>
      <c r="U20" s="79" t="n">
        <f aca="false">SUM(U8:U19)</f>
        <v>589866.846001032</v>
      </c>
      <c r="V20" s="79" t="n">
        <f aca="false">SUM(V8:V19)</f>
        <v>516642.038160837</v>
      </c>
      <c r="W20" s="79" t="n">
        <f aca="false">SUM(W8:W19)</f>
        <v>516642.038160837</v>
      </c>
      <c r="X20" s="79" t="n">
        <f aca="false">SUM(X8:X19)</f>
        <v>516642.038160837</v>
      </c>
      <c r="Y20" s="79" t="n">
        <f aca="false">SUM(Y8:Y19)</f>
        <v>541050.307440902</v>
      </c>
      <c r="Z20" s="79" t="n">
        <f aca="false">SUM(Z8:Z19)</f>
        <v>979335.845993596</v>
      </c>
      <c r="AA20" s="79" t="n">
        <f aca="false">SUM(AA8:AA19)</f>
        <v>1361491.89368366</v>
      </c>
      <c r="AB20" s="79" t="n">
        <f aca="false">SUM(AB8:AB19)</f>
        <v>1130393.28928357</v>
      </c>
      <c r="AC20" s="79" t="n">
        <f aca="false">SUM(AC8:AC19)</f>
        <v>553496.993146872</v>
      </c>
      <c r="AD20" s="79" t="n">
        <f aca="false">SUM(AD8:AD19)</f>
        <v>580208.697113564</v>
      </c>
      <c r="AE20" s="79" t="n">
        <f aca="false">SUM(AE8:AE19)</f>
        <v>633632.105046947</v>
      </c>
      <c r="AF20" s="79" t="n">
        <f aca="false">SUM(AF8:AF19)</f>
        <v>660343.809013639</v>
      </c>
      <c r="AG20" s="79" t="n">
        <f aca="false">SUM(AG8:AG19)</f>
        <v>633632.105046947</v>
      </c>
      <c r="AH20" s="79" t="n">
        <f aca="false">SUM(AH8:AH19)</f>
        <v>553496.993146872</v>
      </c>
      <c r="AI20" s="79" t="n">
        <f aca="false">SUM(AI8:AI19)</f>
        <v>553496.993146872</v>
      </c>
      <c r="AJ20" s="79" t="n">
        <f aca="false">SUM(AJ8:AJ19)</f>
        <v>553496.993146872</v>
      </c>
      <c r="AK20" s="79" t="n">
        <f aca="false">SUM(AK8:AK19)</f>
        <v>580208.697113564</v>
      </c>
      <c r="AL20" s="79" t="n">
        <f aca="false">SUM(AL8:AL19)</f>
        <v>1059374.83693532</v>
      </c>
      <c r="AM20" s="79" t="n">
        <f aca="false">SUMIF($C$5:$AL$5,1,$C20:$AL20)</f>
        <v>5217946.73280985</v>
      </c>
      <c r="AN20" s="79" t="n">
        <f aca="false">SUMIF($C$5:$AL$5,2,$C20:$AL20)</f>
        <v>8243815.74801798</v>
      </c>
      <c r="AO20" s="79" t="n">
        <f aca="false">SUMIF($C$5:$AL$5,3,$C20:$AL20)</f>
        <v>8853273.40582471</v>
      </c>
    </row>
    <row r="22" customFormat="false" ht="15" hidden="false" customHeight="true" outlineLevel="0" collapsed="false">
      <c r="A22" s="28" t="s">
        <v>806</v>
      </c>
      <c r="B22" s="29"/>
    </row>
    <row r="23" customFormat="false" ht="15" hidden="false" customHeight="true" outlineLevel="0" collapsed="false">
      <c r="A23" s="5" t="s">
        <v>807</v>
      </c>
      <c r="C23" s="19" t="n">
        <f aca="false">Volumen!C21*mat_sem+Volumen!C22*mat_rep+Volumen!C23*mat_tem+Volumen!C24*mat_per</f>
        <v>74170.4506451988</v>
      </c>
      <c r="D23" s="19" t="n">
        <f aca="false">Volumen!D21*mat_sem+Volumen!D22*mat_rep+Volumen!D23*mat_tem+Volumen!D24*mat_per</f>
        <v>42157.7909285522</v>
      </c>
      <c r="E23" s="19" t="n">
        <f aca="false">Volumen!E21*mat_sem+Volumen!E22*mat_rep+Volumen!E23*mat_tem+Volumen!E24*mat_per</f>
        <v>83806.1976666186</v>
      </c>
      <c r="F23" s="19" t="n">
        <f aca="false">Volumen!F21*mat_sem+Volumen!F22*mat_rep+Volumen!F23*mat_tem+Volumen!F24*mat_per</f>
        <v>121550.118190767</v>
      </c>
      <c r="G23" s="19" t="n">
        <f aca="false">Volumen!G21*mat_sem+Volumen!G22*mat_rep+Volumen!G23*mat_tem+Volumen!G24*mat_per</f>
        <v>170752.014588318</v>
      </c>
      <c r="H23" s="19" t="n">
        <f aca="false">Volumen!H21*mat_sem+Volumen!H22*mat_rep+Volumen!H23*mat_tem+Volumen!H24*mat_per</f>
        <v>218605.913824293</v>
      </c>
      <c r="I23" s="19" t="n">
        <f aca="false">Volumen!I21*mat_sem+Volumen!I22*mat_rep+Volumen!I23*mat_tem+Volumen!I24*mat_per</f>
        <v>247587.852798192</v>
      </c>
      <c r="J23" s="19" t="n">
        <f aca="false">Volumen!J21*mat_sem+Volumen!J22*mat_rep+Volumen!J23*mat_tem+Volumen!J24*mat_per</f>
        <v>245565.857055827</v>
      </c>
      <c r="K23" s="19" t="n">
        <f aca="false">Volumen!K21*mat_sem+Volumen!K22*mat_rep+Volumen!K23*mat_tem+Volumen!K24*mat_per</f>
        <v>215679.545852278</v>
      </c>
      <c r="L23" s="19" t="n">
        <f aca="false">Volumen!L21*mat_sem+Volumen!L22*mat_rep+Volumen!L23*mat_tem+Volumen!L24*mat_per</f>
        <v>215679.545852278</v>
      </c>
      <c r="M23" s="19" t="n">
        <f aca="false">Volumen!M21*mat_sem+Volumen!M22*mat_rep+Volumen!M23*mat_tem+Volumen!M24*mat_per</f>
        <v>229159.517468046</v>
      </c>
      <c r="N23" s="19" t="n">
        <f aca="false">Volumen!N21*mat_sem+Volumen!N22*mat_rep+Volumen!N23*mat_tem+Volumen!N24*mat_per</f>
        <v>449683.10323789</v>
      </c>
      <c r="O23" s="19" t="n">
        <f aca="false">Volumen!O21*mat_sem+Volumen!O22*mat_rep+Volumen!O23*mat_tem+Volumen!O24*mat_per</f>
        <v>587398.553604494</v>
      </c>
      <c r="P23" s="19" t="n">
        <f aca="false">Volumen!P21*mat_sem+Volumen!P22*mat_rep+Volumen!P23*mat_tem+Volumen!P24*mat_per</f>
        <v>463735.700214074</v>
      </c>
      <c r="Q23" s="19" t="n">
        <f aca="false">Volumen!Q21*mat_sem+Volumen!Q22*mat_rep+Volumen!Q23*mat_tem+Volumen!Q24*mat_per</f>
        <v>237247.500437506</v>
      </c>
      <c r="R23" s="19" t="n">
        <f aca="false">Volumen!R21*mat_sem+Volumen!R22*mat_rep+Volumen!R23*mat_tem+Volumen!R24*mat_per</f>
        <v>252075.46921485</v>
      </c>
      <c r="S23" s="19" t="n">
        <f aca="false">Volumen!S21*mat_sem+Volumen!S22*mat_rep+Volumen!S23*mat_tem+Volumen!S24*mat_per</f>
        <v>281731.406769539</v>
      </c>
      <c r="T23" s="19" t="n">
        <f aca="false">Volumen!T21*mat_sem+Volumen!T22*mat_rep+Volumen!T23*mat_tem+Volumen!T24*mat_per</f>
        <v>296559.375546883</v>
      </c>
      <c r="U23" s="19" t="n">
        <f aca="false">Volumen!U21*mat_sem+Volumen!U22*mat_rep+Volumen!U23*mat_tem+Volumen!U24*mat_per</f>
        <v>281731.406769539</v>
      </c>
      <c r="V23" s="19" t="n">
        <f aca="false">Volumen!V21*mat_sem+Volumen!V22*mat_rep+Volumen!V23*mat_tem+Volumen!V24*mat_per</f>
        <v>237247.500437506</v>
      </c>
      <c r="W23" s="19" t="n">
        <f aca="false">Volumen!W21*mat_sem+Volumen!W22*mat_rep+Volumen!W23*mat_tem+Volumen!W24*mat_per</f>
        <v>237247.500437506</v>
      </c>
      <c r="X23" s="19" t="n">
        <f aca="false">Volumen!X21*mat_sem+Volumen!X22*mat_rep+Volumen!X23*mat_tem+Volumen!X24*mat_per</f>
        <v>237247.500437506</v>
      </c>
      <c r="Y23" s="19" t="n">
        <f aca="false">Volumen!Y21*mat_sem+Volumen!Y22*mat_rep+Volumen!Y23*mat_tem+Volumen!Y24*mat_per</f>
        <v>252075.46921485</v>
      </c>
      <c r="Z23" s="19" t="n">
        <f aca="false">Volumen!Z21*mat_sem+Volumen!Z22*mat_rep+Volumen!Z23*mat_tem+Volumen!Z24*mat_per</f>
        <v>494651.413561679</v>
      </c>
      <c r="AA23" s="19" t="n">
        <f aca="false">Volumen!AA21*mat_sem+Volumen!AA22*mat_rep+Volumen!AA23*mat_tem+Volumen!AA24*mat_per</f>
        <v>646138.408964943</v>
      </c>
      <c r="AB23" s="19" t="n">
        <f aca="false">Volumen!AB21*mat_sem+Volumen!AB22*mat_rep+Volumen!AB23*mat_tem+Volumen!AB24*mat_per</f>
        <v>510109.270235482</v>
      </c>
      <c r="AC23" s="19" t="n">
        <f aca="false">Volumen!AC21*mat_sem+Volumen!AC22*mat_rep+Volumen!AC23*mat_tem+Volumen!AC24*mat_per</f>
        <v>260972.250481257</v>
      </c>
      <c r="AD23" s="19" t="n">
        <f aca="false">Volumen!AD21*mat_sem+Volumen!AD22*mat_rep+Volumen!AD23*mat_tem+Volumen!AD24*mat_per</f>
        <v>277283.016136335</v>
      </c>
      <c r="AE23" s="19" t="n">
        <f aca="false">Volumen!AE21*mat_sem+Volumen!AE22*mat_rep+Volumen!AE23*mat_tem+Volumen!AE24*mat_per</f>
        <v>309904.547446493</v>
      </c>
      <c r="AF23" s="19" t="n">
        <f aca="false">Volumen!AF21*mat_sem+Volumen!AF22*mat_rep+Volumen!AF23*mat_tem+Volumen!AF24*mat_per</f>
        <v>326215.313101571</v>
      </c>
      <c r="AG23" s="19" t="n">
        <f aca="false">Volumen!AG21*mat_sem+Volumen!AG22*mat_rep+Volumen!AG23*mat_tem+Volumen!AG24*mat_per</f>
        <v>309904.547446493</v>
      </c>
      <c r="AH23" s="19" t="n">
        <f aca="false">Volumen!AH21*mat_sem+Volumen!AH22*mat_rep+Volumen!AH23*mat_tem+Volumen!AH24*mat_per</f>
        <v>260972.250481257</v>
      </c>
      <c r="AI23" s="19" t="n">
        <f aca="false">Volumen!AI21*mat_sem+Volumen!AI22*mat_rep+Volumen!AI23*mat_tem+Volumen!AI24*mat_per</f>
        <v>260972.250481257</v>
      </c>
      <c r="AJ23" s="19" t="n">
        <f aca="false">Volumen!AJ21*mat_sem+Volumen!AJ22*mat_rep+Volumen!AJ23*mat_tem+Volumen!AJ24*mat_per</f>
        <v>260972.250481257</v>
      </c>
      <c r="AK23" s="19" t="n">
        <f aca="false">Volumen!AK21*mat_sem+Volumen!AK22*mat_rep+Volumen!AK23*mat_tem+Volumen!AK24*mat_per</f>
        <v>277283.016136335</v>
      </c>
      <c r="AL23" s="19" t="n">
        <f aca="false">Volumen!AL21*mat_sem+Volumen!AL22*mat_rep+Volumen!AL23*mat_tem+Volumen!AL24*mat_per</f>
        <v>544116.554917847</v>
      </c>
      <c r="AM23" s="77" t="n">
        <f aca="false">SUMIF($C$5:$AL$5,1,$C23:$AL23)</f>
        <v>2314397.90810826</v>
      </c>
      <c r="AN23" s="77" t="n">
        <f aca="false">SUMIF($C$5:$AL$5,2,$C23:$AL23)</f>
        <v>3858948.79664593</v>
      </c>
      <c r="AO23" s="77" t="n">
        <f aca="false">SUMIF($C$5:$AL$5,3,$C23:$AL23)</f>
        <v>4244843.67631053</v>
      </c>
    </row>
    <row r="24" customFormat="false" ht="15" hidden="false" customHeight="true" outlineLevel="0" collapsed="false">
      <c r="A24" s="5" t="s">
        <v>808</v>
      </c>
      <c r="C24" s="19" t="n">
        <f aca="false">(Volumen!C21+Volumen!C23+Volumen!C24+Volumen!C22*factor_transf_rep)*IF(C$3&gt;=mes_planta,transf_propia,transf_maquila)</f>
        <v>8720.229375</v>
      </c>
      <c r="D24" s="19" t="n">
        <f aca="false">(Volumen!D21+Volumen!D23+Volumen!D24+Volumen!D22*factor_transf_rep)*IF(D$3&gt;=mes_planta,transf_propia,transf_maquila)</f>
        <v>4956.496875</v>
      </c>
      <c r="E24" s="19" t="n">
        <f aca="false">(Volumen!E21+Volumen!E23+Volumen!E24+Volumen!E22*factor_transf_rep)*IF(E$3&gt;=mes_planta,transf_propia,transf_maquila)</f>
        <v>9994.05</v>
      </c>
      <c r="F24" s="19" t="n">
        <f aca="false">(Volumen!F21+Volumen!F23+Volumen!F24+Volumen!F22*factor_transf_rep)*IF(F$3&gt;=mes_planta,transf_propia,transf_maquila)</f>
        <v>14495.085</v>
      </c>
      <c r="G24" s="19" t="n">
        <f aca="false">(Volumen!G21+Volumen!G23+Volumen!G24+Volumen!G22*factor_transf_rep)*IF(G$3&gt;=mes_planta,transf_propia,transf_maquila)</f>
        <v>20362.505625</v>
      </c>
      <c r="H24" s="19" t="n">
        <f aca="false">(Volumen!H21+Volumen!H23+Volumen!H24+Volumen!H22*factor_transf_rep)*IF(H$3&gt;=mes_planta,transf_propia,transf_maquila)</f>
        <v>26069.175</v>
      </c>
      <c r="I24" s="19" t="n">
        <f aca="false">(Volumen!I21+Volumen!I23+Volumen!I24+Volumen!I22*factor_transf_rep)*IF(I$3&gt;=mes_planta,transf_propia,transf_maquila)</f>
        <v>29525.326875</v>
      </c>
      <c r="J24" s="19" t="n">
        <f aca="false">(Volumen!J21+Volumen!J23+Volumen!J24+Volumen!J22*factor_transf_rep)*IF(J$3&gt;=mes_planta,transf_propia,transf_maquila)</f>
        <v>29284.2</v>
      </c>
      <c r="K24" s="19" t="n">
        <f aca="false">(Volumen!K21+Volumen!K23+Volumen!K24+Volumen!K22*factor_transf_rep)*IF(K$3&gt;=mes_planta,transf_propia,transf_maquila)</f>
        <v>25720.2</v>
      </c>
      <c r="L24" s="19" t="n">
        <f aca="false">(Volumen!L21+Volumen!L23+Volumen!L24+Volumen!L22*factor_transf_rep)*IF(L$3&gt;=mes_planta,transf_propia,transf_maquila)</f>
        <v>25720.2</v>
      </c>
      <c r="M24" s="19" t="n">
        <f aca="false">(Volumen!M21+Volumen!M23+Volumen!M24+Volumen!M22*factor_transf_rep)*IF(M$3&gt;=mes_planta,transf_propia,transf_maquila)</f>
        <v>27327.7125</v>
      </c>
      <c r="N24" s="19" t="n">
        <f aca="false">(Volumen!N21+Volumen!N23+Volumen!N24+Volumen!N22*factor_transf_rep)*IF(N$3&gt;=mes_planta,transf_propia,transf_maquila)</f>
        <v>52869.3</v>
      </c>
      <c r="O24" s="19" t="n">
        <f aca="false">(Volumen!O21+Volumen!O23+Volumen!O24+Volumen!O22*factor_transf_rep)*IF(O$3&gt;=mes_planta,transf_propia,transf_maquila)</f>
        <v>69060.523125</v>
      </c>
      <c r="P24" s="19" t="n">
        <f aca="false">(Volumen!P21+Volumen!P23+Volumen!P24+Volumen!P22*factor_transf_rep)*IF(P$3&gt;=mes_planta,transf_propia,transf_maquila)</f>
        <v>54521.465625</v>
      </c>
      <c r="Q24" s="19" t="n">
        <f aca="false">(Volumen!Q21+Volumen!Q23+Volumen!Q24+Volumen!Q22*factor_transf_rep)*IF(Q$3&gt;=mes_planta,transf_propia,transf_maquila)</f>
        <v>28292.22</v>
      </c>
      <c r="R24" s="19" t="n">
        <f aca="false">(Volumen!R21+Volumen!R23+Volumen!R24+Volumen!R22*factor_transf_rep)*IF(R$3&gt;=mes_planta,transf_propia,transf_maquila)</f>
        <v>30060.48375</v>
      </c>
      <c r="S24" s="19" t="n">
        <f aca="false">(Volumen!S21+Volumen!S23+Volumen!S24+Volumen!S22*factor_transf_rep)*IF(S$3&gt;=mes_planta,transf_propia,transf_maquila)</f>
        <v>33597.01125</v>
      </c>
      <c r="T24" s="19" t="n">
        <f aca="false">(Volumen!T21+Volumen!T23+Volumen!T24+Volumen!T22*factor_transf_rep)*IF(T$3&gt;=mes_planta,transf_propia,transf_maquila)</f>
        <v>35365.275</v>
      </c>
      <c r="U24" s="19" t="n">
        <f aca="false">(Volumen!U21+Volumen!U23+Volumen!U24+Volumen!U22*factor_transf_rep)*IF(U$3&gt;=mes_planta,transf_propia,transf_maquila)</f>
        <v>33597.01125</v>
      </c>
      <c r="V24" s="19" t="n">
        <f aca="false">(Volumen!V21+Volumen!V23+Volumen!V24+Volumen!V22*factor_transf_rep)*IF(V$3&gt;=mes_planta,transf_propia,transf_maquila)</f>
        <v>28292.22</v>
      </c>
      <c r="W24" s="19" t="n">
        <f aca="false">(Volumen!W21+Volumen!W23+Volumen!W24+Volumen!W22*factor_transf_rep)*IF(W$3&gt;=mes_planta,transf_propia,transf_maquila)</f>
        <v>28292.22</v>
      </c>
      <c r="X24" s="19" t="n">
        <f aca="false">(Volumen!X21+Volumen!X23+Volumen!X24+Volumen!X22*factor_transf_rep)*IF(X$3&gt;=mes_planta,transf_propia,transf_maquila)</f>
        <v>28292.22</v>
      </c>
      <c r="Y24" s="19" t="n">
        <f aca="false">(Volumen!Y21+Volumen!Y23+Volumen!Y24+Volumen!Y22*factor_transf_rep)*IF(Y$3&gt;=mes_planta,transf_propia,transf_maquila)</f>
        <v>30060.48375</v>
      </c>
      <c r="Z24" s="19" t="n">
        <f aca="false">(Volumen!Z21+Volumen!Z23+Volumen!Z24+Volumen!Z22*factor_transf_rep)*IF(Z$3&gt;=mes_planta,transf_propia,transf_maquila)</f>
        <v>58156.23</v>
      </c>
      <c r="AA24" s="19" t="n">
        <f aca="false">(Volumen!AA21+Volumen!AA23+Volumen!AA24+Volumen!AA22*factor_transf_rep)*IF(AA$3&gt;=mes_planta,transf_propia,transf_maquila)</f>
        <v>75966.5754375</v>
      </c>
      <c r="AB24" s="19" t="n">
        <f aca="false">(Volumen!AB21+Volumen!AB23+Volumen!AB24+Volumen!AB22*factor_transf_rep)*IF(AB$3&gt;=mes_planta,transf_propia,transf_maquila)</f>
        <v>59973.6121875</v>
      </c>
      <c r="AC24" s="19" t="n">
        <f aca="false">(Volumen!AC21+Volumen!AC23+Volumen!AC24+Volumen!AC22*factor_transf_rep)*IF(AC$3&gt;=mes_planta,transf_propia,transf_maquila)</f>
        <v>31121.442</v>
      </c>
      <c r="AD24" s="19" t="n">
        <f aca="false">(Volumen!AD21+Volumen!AD23+Volumen!AD24+Volumen!AD22*factor_transf_rep)*IF(AD$3&gt;=mes_planta,transf_propia,transf_maquila)</f>
        <v>33066.532125</v>
      </c>
      <c r="AE24" s="19" t="n">
        <f aca="false">(Volumen!AE21+Volumen!AE23+Volumen!AE24+Volumen!AE22*factor_transf_rep)*IF(AE$3&gt;=mes_planta,transf_propia,transf_maquila)</f>
        <v>36956.712375</v>
      </c>
      <c r="AF24" s="19" t="n">
        <f aca="false">(Volumen!AF21+Volumen!AF23+Volumen!AF24+Volumen!AF22*factor_transf_rep)*IF(AF$3&gt;=mes_planta,transf_propia,transf_maquila)</f>
        <v>38901.8025</v>
      </c>
      <c r="AG24" s="19" t="n">
        <f aca="false">(Volumen!AG21+Volumen!AG23+Volumen!AG24+Volumen!AG22*factor_transf_rep)*IF(AG$3&gt;=mes_planta,transf_propia,transf_maquila)</f>
        <v>36956.712375</v>
      </c>
      <c r="AH24" s="19" t="n">
        <f aca="false">(Volumen!AH21+Volumen!AH23+Volumen!AH24+Volumen!AH22*factor_transf_rep)*IF(AH$3&gt;=mes_planta,transf_propia,transf_maquila)</f>
        <v>31121.442</v>
      </c>
      <c r="AI24" s="19" t="n">
        <f aca="false">(Volumen!AI21+Volumen!AI23+Volumen!AI24+Volumen!AI22*factor_transf_rep)*IF(AI$3&gt;=mes_planta,transf_propia,transf_maquila)</f>
        <v>31121.442</v>
      </c>
      <c r="AJ24" s="19" t="n">
        <f aca="false">(Volumen!AJ21+Volumen!AJ23+Volumen!AJ24+Volumen!AJ22*factor_transf_rep)*IF(AJ$3&gt;=mes_planta,transf_propia,transf_maquila)</f>
        <v>31121.442</v>
      </c>
      <c r="AK24" s="19" t="n">
        <f aca="false">(Volumen!AK21+Volumen!AK23+Volumen!AK24+Volumen!AK22*factor_transf_rep)*IF(AK$3&gt;=mes_planta,transf_propia,transf_maquila)</f>
        <v>33066.532125</v>
      </c>
      <c r="AL24" s="19" t="n">
        <f aca="false">(Volumen!AL21+Volumen!AL23+Volumen!AL24+Volumen!AL22*factor_transf_rep)*IF(AL$3&gt;=mes_planta,transf_propia,transf_maquila)</f>
        <v>63971.853</v>
      </c>
      <c r="AM24" s="77" t="n">
        <f aca="false">SUMIF($C$5:$AL$5,1,$C24:$AL24)</f>
        <v>275044.48125</v>
      </c>
      <c r="AN24" s="77" t="n">
        <f aca="false">SUMIF($C$5:$AL$5,2,$C24:$AL24)</f>
        <v>457587.36375</v>
      </c>
      <c r="AO24" s="77" t="n">
        <f aca="false">SUMIF($C$5:$AL$5,3,$C24:$AL24)</f>
        <v>503346.100125</v>
      </c>
    </row>
    <row r="25" customFormat="false" ht="15" hidden="false" customHeight="true" outlineLevel="0" collapsed="false">
      <c r="A25" s="5" t="s">
        <v>809</v>
      </c>
      <c r="C25" s="19" t="n">
        <f aca="false">(Volumen!C29+Volumen!C31)*(mat_rep+factor_transf_rep*IF(C$3&gt;=mes_planta,transf_propia,transf_maquila))</f>
        <v>0</v>
      </c>
      <c r="D25" s="19" t="n">
        <f aca="false">(Volumen!D29+Volumen!D31)*(mat_rep+factor_transf_rep*IF(D$3&gt;=mes_planta,transf_propia,transf_maquila))</f>
        <v>135.946287049531</v>
      </c>
      <c r="E25" s="19" t="n">
        <f aca="false">(Volumen!E29+Volumen!E31)*(mat_rep+factor_transf_rep*IF(E$3&gt;=mes_planta,transf_propia,transf_maquila))</f>
        <v>576.768633751739</v>
      </c>
      <c r="F25" s="19" t="n">
        <f aca="false">(Volumen!F29+Volumen!F31)*(mat_rep+factor_transf_rep*IF(F$3&gt;=mes_planta,transf_propia,transf_maquila))</f>
        <v>1017.59098045395</v>
      </c>
      <c r="G25" s="19" t="n">
        <f aca="false">(Volumen!G29+Volumen!G31)*(mat_rep+factor_transf_rep*IF(G$3&gt;=mes_planta,transf_propia,transf_maquila))</f>
        <v>1458.41332715616</v>
      </c>
      <c r="H25" s="19" t="n">
        <f aca="false">(Volumen!H29+Volumen!H31)*(mat_rep+factor_transf_rep*IF(H$3&gt;=mes_planta,transf_propia,transf_maquila))</f>
        <v>1899.23567385836</v>
      </c>
      <c r="I25" s="19" t="n">
        <f aca="false">(Volumen!I29+Volumen!I31)*(mat_rep+factor_transf_rep*IF(I$3&gt;=mes_planta,transf_propia,transf_maquila))</f>
        <v>2340.05802056057</v>
      </c>
      <c r="J25" s="19" t="n">
        <f aca="false">(Volumen!J29+Volumen!J31)*(mat_rep+factor_transf_rep*IF(J$3&gt;=mes_planta,transf_propia,transf_maquila))</f>
        <v>2644.93408021325</v>
      </c>
      <c r="K25" s="19" t="n">
        <f aca="false">(Volumen!K29+Volumen!K31)*(mat_rep+factor_transf_rep*IF(K$3&gt;=mes_planta,transf_propia,transf_maquila))</f>
        <v>2949.81013986593</v>
      </c>
      <c r="L25" s="19" t="n">
        <f aca="false">(Volumen!L29+Volumen!L31)*(mat_rep+factor_transf_rep*IF(L$3&gt;=mes_planta,transf_propia,transf_maquila))</f>
        <v>3254.68619951861</v>
      </c>
      <c r="M25" s="19" t="n">
        <f aca="false">(Volumen!M29+Volumen!M31)*(mat_rep+factor_transf_rep*IF(M$3&gt;=mes_planta,transf_propia,transf_maquila))</f>
        <v>3559.56225917128</v>
      </c>
      <c r="N25" s="19" t="n">
        <f aca="false">(Volumen!N29+Volumen!N31)*(mat_rep+factor_transf_rep*IF(N$3&gt;=mes_planta,transf_propia,transf_maquila))</f>
        <v>3559.56225917128</v>
      </c>
      <c r="O25" s="19" t="n">
        <f aca="false">(Volumen!O29+Volumen!O31)*(mat_rep+factor_transf_rep*IF(O$3&gt;=mes_planta,transf_propia,transf_maquila))</f>
        <v>3559.56225917128</v>
      </c>
      <c r="P25" s="19" t="n">
        <f aca="false">(Volumen!P29+Volumen!P31)*(mat_rep+factor_transf_rep*IF(P$3&gt;=mes_planta,transf_propia,transf_maquila))</f>
        <v>3559.56225917128</v>
      </c>
      <c r="Q25" s="19" t="n">
        <f aca="false">(Volumen!Q29+Volumen!Q31)*(mat_rep+factor_transf_rep*IF(Q$3&gt;=mes_planta,transf_propia,transf_maquila))</f>
        <v>3559.56225917128</v>
      </c>
      <c r="R25" s="19" t="n">
        <f aca="false">(Volumen!R29+Volumen!R31)*(mat_rep+factor_transf_rep*IF(R$3&gt;=mes_planta,transf_propia,transf_maquila))</f>
        <v>3559.56225917128</v>
      </c>
      <c r="S25" s="19" t="n">
        <f aca="false">(Volumen!S29+Volumen!S31)*(mat_rep+factor_transf_rep*IF(S$3&gt;=mes_planta,transf_propia,transf_maquila))</f>
        <v>3559.56225917128</v>
      </c>
      <c r="T25" s="19" t="n">
        <f aca="false">(Volumen!T29+Volumen!T31)*(mat_rep+factor_transf_rep*IF(T$3&gt;=mes_planta,transf_propia,transf_maquila))</f>
        <v>3559.56225917128</v>
      </c>
      <c r="U25" s="19" t="n">
        <f aca="false">(Volumen!U29+Volumen!U31)*(mat_rep+factor_transf_rep*IF(U$3&gt;=mes_planta,transf_propia,transf_maquila))</f>
        <v>3559.56225917128</v>
      </c>
      <c r="V25" s="19" t="n">
        <f aca="false">(Volumen!V29+Volumen!V31)*(mat_rep+factor_transf_rep*IF(V$3&gt;=mes_planta,transf_propia,transf_maquila))</f>
        <v>3559.56225917128</v>
      </c>
      <c r="W25" s="19" t="n">
        <f aca="false">(Volumen!W29+Volumen!W31)*(mat_rep+factor_transf_rep*IF(W$3&gt;=mes_planta,transf_propia,transf_maquila))</f>
        <v>3559.56225917128</v>
      </c>
      <c r="X25" s="19" t="n">
        <f aca="false">(Volumen!X29+Volumen!X31)*(mat_rep+factor_transf_rep*IF(X$3&gt;=mes_planta,transf_propia,transf_maquila))</f>
        <v>3559.56225917128</v>
      </c>
      <c r="Y25" s="19" t="n">
        <f aca="false">(Volumen!Y29+Volumen!Y31)*(mat_rep+factor_transf_rep*IF(Y$3&gt;=mes_planta,transf_propia,transf_maquila))</f>
        <v>3559.56225917128</v>
      </c>
      <c r="Z25" s="19" t="n">
        <f aca="false">(Volumen!Z29+Volumen!Z31)*(mat_rep+factor_transf_rep*IF(Z$3&gt;=mes_planta,transf_propia,transf_maquila))</f>
        <v>3559.56225917128</v>
      </c>
      <c r="AA25" s="19" t="n">
        <f aca="false">(Volumen!AA29+Volumen!AA31)*(mat_rep+factor_transf_rep*IF(AA$3&gt;=mes_planta,transf_propia,transf_maquila))</f>
        <v>3559.56225917128</v>
      </c>
      <c r="AB25" s="19" t="n">
        <f aca="false">(Volumen!AB29+Volumen!AB31)*(mat_rep+factor_transf_rep*IF(AB$3&gt;=mes_planta,transf_propia,transf_maquila))</f>
        <v>3559.56225917128</v>
      </c>
      <c r="AC25" s="19" t="n">
        <f aca="false">(Volumen!AC29+Volumen!AC31)*(mat_rep+factor_transf_rep*IF(AC$3&gt;=mes_planta,transf_propia,transf_maquila))</f>
        <v>3559.56225917128</v>
      </c>
      <c r="AD25" s="19" t="n">
        <f aca="false">(Volumen!AD29+Volumen!AD31)*(mat_rep+factor_transf_rep*IF(AD$3&gt;=mes_planta,transf_propia,transf_maquila))</f>
        <v>3559.56225917128</v>
      </c>
      <c r="AE25" s="19" t="n">
        <f aca="false">(Volumen!AE29+Volumen!AE31)*(mat_rep+factor_transf_rep*IF(AE$3&gt;=mes_planta,transf_propia,transf_maquila))</f>
        <v>3559.56225917128</v>
      </c>
      <c r="AF25" s="19" t="n">
        <f aca="false">(Volumen!AF29+Volumen!AF31)*(mat_rep+factor_transf_rep*IF(AF$3&gt;=mes_planta,transf_propia,transf_maquila))</f>
        <v>3559.56225917128</v>
      </c>
      <c r="AG25" s="19" t="n">
        <f aca="false">(Volumen!AG29+Volumen!AG31)*(mat_rep+factor_transf_rep*IF(AG$3&gt;=mes_planta,transf_propia,transf_maquila))</f>
        <v>3559.56225917128</v>
      </c>
      <c r="AH25" s="19" t="n">
        <f aca="false">(Volumen!AH29+Volumen!AH31)*(mat_rep+factor_transf_rep*IF(AH$3&gt;=mes_planta,transf_propia,transf_maquila))</f>
        <v>3559.56225917128</v>
      </c>
      <c r="AI25" s="19" t="n">
        <f aca="false">(Volumen!AI29+Volumen!AI31)*(mat_rep+factor_transf_rep*IF(AI$3&gt;=mes_planta,transf_propia,transf_maquila))</f>
        <v>3559.56225917128</v>
      </c>
      <c r="AJ25" s="19" t="n">
        <f aca="false">(Volumen!AJ29+Volumen!AJ31)*(mat_rep+factor_transf_rep*IF(AJ$3&gt;=mes_planta,transf_propia,transf_maquila))</f>
        <v>3559.56225917128</v>
      </c>
      <c r="AK25" s="19" t="n">
        <f aca="false">(Volumen!AK29+Volumen!AK31)*(mat_rep+factor_transf_rep*IF(AK$3&gt;=mes_planta,transf_propia,transf_maquila))</f>
        <v>3559.56225917128</v>
      </c>
      <c r="AL25" s="19" t="n">
        <f aca="false">(Volumen!AL29+Volumen!AL31)*(mat_rep+factor_transf_rep*IF(AL$3&gt;=mes_planta,transf_propia,transf_maquila))</f>
        <v>3559.56225917128</v>
      </c>
      <c r="AM25" s="77" t="n">
        <f aca="false">SUMIF($C$5:$AL$5,1,$C25:$AL25)</f>
        <v>23396.5678607707</v>
      </c>
      <c r="AN25" s="77" t="n">
        <f aca="false">SUMIF($C$5:$AL$5,2,$C25:$AL25)</f>
        <v>42714.7471100554</v>
      </c>
      <c r="AO25" s="77" t="n">
        <f aca="false">SUMIF($C$5:$AL$5,3,$C25:$AL25)</f>
        <v>42714.7471100554</v>
      </c>
    </row>
    <row r="26" customFormat="false" ht="15" hidden="false" customHeight="true" outlineLevel="0" collapsed="false">
      <c r="A26" s="5" t="s">
        <v>810</v>
      </c>
      <c r="C26" s="19" t="n">
        <f aca="false">Volumen!C33*(mat_sem+IF(C$3&gt;=mes_planta,transf_propia,transf_maquila))</f>
        <v>0</v>
      </c>
      <c r="D26" s="19" t="n">
        <f aca="false">Volumen!D33*(mat_sem+IF(D$3&gt;=mes_planta,transf_propia,transf_maquila))</f>
        <v>12099.1110678497</v>
      </c>
      <c r="E26" s="19" t="n">
        <f aca="false">Volumen!E33*(mat_sem+IF(E$3&gt;=mes_planta,transf_propia,transf_maquila))</f>
        <v>6049.55553392483</v>
      </c>
      <c r="F26" s="19" t="n">
        <f aca="false">Volumen!F33*(mat_sem+IF(F$3&gt;=mes_planta,transf_propia,transf_maquila))</f>
        <v>6049.55553392483</v>
      </c>
      <c r="G26" s="19" t="n">
        <f aca="false">Volumen!G33*(mat_sem+IF(G$3&gt;=mes_planta,transf_propia,transf_maquila))</f>
        <v>6049.55553392483</v>
      </c>
      <c r="H26" s="19" t="n">
        <f aca="false">Volumen!H33*(mat_sem+IF(H$3&gt;=mes_planta,transf_propia,transf_maquila))</f>
        <v>6049.55553392483</v>
      </c>
      <c r="I26" s="19" t="n">
        <f aca="false">Volumen!I33*(mat_sem+IF(I$3&gt;=mes_planta,transf_propia,transf_maquila))</f>
        <v>6049.55553392483</v>
      </c>
      <c r="J26" s="19" t="n">
        <f aca="false">Volumen!J33*(mat_sem+IF(J$3&gt;=mes_planta,transf_propia,transf_maquila))</f>
        <v>6049.55553392483</v>
      </c>
      <c r="K26" s="19" t="n">
        <f aca="false">Volumen!K33*(mat_sem+IF(K$3&gt;=mes_planta,transf_propia,transf_maquila))</f>
        <v>6049.55553392483</v>
      </c>
      <c r="L26" s="19" t="n">
        <f aca="false">Volumen!L33*(mat_sem+IF(L$3&gt;=mes_planta,transf_propia,transf_maquila))</f>
        <v>6049.55553392483</v>
      </c>
      <c r="M26" s="19" t="n">
        <f aca="false">Volumen!M33*(mat_sem+IF(M$3&gt;=mes_planta,transf_propia,transf_maquila))</f>
        <v>6049.55553392483</v>
      </c>
      <c r="N26" s="19" t="n">
        <f aca="false">Volumen!N33*(mat_sem+IF(N$3&gt;=mes_planta,transf_propia,transf_maquila))</f>
        <v>12099.1110678497</v>
      </c>
      <c r="O26" s="19" t="n">
        <f aca="false">Volumen!O33*(mat_sem+IF(O$3&gt;=mes_planta,transf_propia,transf_maquila))</f>
        <v>12099.1110678497</v>
      </c>
      <c r="P26" s="19" t="n">
        <f aca="false">Volumen!P33*(mat_sem+IF(P$3&gt;=mes_planta,transf_propia,transf_maquila))</f>
        <v>12099.1110678497</v>
      </c>
      <c r="Q26" s="19" t="n">
        <f aca="false">Volumen!Q33*(mat_sem+IF(Q$3&gt;=mes_planta,transf_propia,transf_maquila))</f>
        <v>6049.55553392483</v>
      </c>
      <c r="R26" s="19" t="n">
        <f aca="false">Volumen!R33*(mat_sem+IF(R$3&gt;=mes_planta,transf_propia,transf_maquila))</f>
        <v>6049.55553392483</v>
      </c>
      <c r="S26" s="19" t="n">
        <f aca="false">Volumen!S33*(mat_sem+IF(S$3&gt;=mes_planta,transf_propia,transf_maquila))</f>
        <v>6049.55553392483</v>
      </c>
      <c r="T26" s="19" t="n">
        <f aca="false">Volumen!T33*(mat_sem+IF(T$3&gt;=mes_planta,transf_propia,transf_maquila))</f>
        <v>6049.55553392483</v>
      </c>
      <c r="U26" s="19" t="n">
        <f aca="false">Volumen!U33*(mat_sem+IF(U$3&gt;=mes_planta,transf_propia,transf_maquila))</f>
        <v>6049.55553392483</v>
      </c>
      <c r="V26" s="19" t="n">
        <f aca="false">Volumen!V33*(mat_sem+IF(V$3&gt;=mes_planta,transf_propia,transf_maquila))</f>
        <v>6049.55553392483</v>
      </c>
      <c r="W26" s="19" t="n">
        <f aca="false">Volumen!W33*(mat_sem+IF(W$3&gt;=mes_planta,transf_propia,transf_maquila))</f>
        <v>6049.55553392483</v>
      </c>
      <c r="X26" s="19" t="n">
        <f aca="false">Volumen!X33*(mat_sem+IF(X$3&gt;=mes_planta,transf_propia,transf_maquila))</f>
        <v>6049.55553392483</v>
      </c>
      <c r="Y26" s="19" t="n">
        <f aca="false">Volumen!Y33*(mat_sem+IF(Y$3&gt;=mes_planta,transf_propia,transf_maquila))</f>
        <v>6049.55553392483</v>
      </c>
      <c r="Z26" s="19" t="n">
        <f aca="false">Volumen!Z33*(mat_sem+IF(Z$3&gt;=mes_planta,transf_propia,transf_maquila))</f>
        <v>12099.1110678497</v>
      </c>
      <c r="AA26" s="19" t="n">
        <f aca="false">Volumen!AA33*(mat_sem+IF(AA$3&gt;=mes_planta,transf_propia,transf_maquila))</f>
        <v>12099.1110678497</v>
      </c>
      <c r="AB26" s="19" t="n">
        <f aca="false">Volumen!AB33*(mat_sem+IF(AB$3&gt;=mes_planta,transf_propia,transf_maquila))</f>
        <v>12099.1110678497</v>
      </c>
      <c r="AC26" s="19" t="n">
        <f aca="false">Volumen!AC33*(mat_sem+IF(AC$3&gt;=mes_planta,transf_propia,transf_maquila))</f>
        <v>6049.55553392483</v>
      </c>
      <c r="AD26" s="19" t="n">
        <f aca="false">Volumen!AD33*(mat_sem+IF(AD$3&gt;=mes_planta,transf_propia,transf_maquila))</f>
        <v>6049.55553392483</v>
      </c>
      <c r="AE26" s="19" t="n">
        <f aca="false">Volumen!AE33*(mat_sem+IF(AE$3&gt;=mes_planta,transf_propia,transf_maquila))</f>
        <v>6049.55553392483</v>
      </c>
      <c r="AF26" s="19" t="n">
        <f aca="false">Volumen!AF33*(mat_sem+IF(AF$3&gt;=mes_planta,transf_propia,transf_maquila))</f>
        <v>6049.55553392483</v>
      </c>
      <c r="AG26" s="19" t="n">
        <f aca="false">Volumen!AG33*(mat_sem+IF(AG$3&gt;=mes_planta,transf_propia,transf_maquila))</f>
        <v>6049.55553392483</v>
      </c>
      <c r="AH26" s="19" t="n">
        <f aca="false">Volumen!AH33*(mat_sem+IF(AH$3&gt;=mes_planta,transf_propia,transf_maquila))</f>
        <v>6049.55553392483</v>
      </c>
      <c r="AI26" s="19" t="n">
        <f aca="false">Volumen!AI33*(mat_sem+IF(AI$3&gt;=mes_planta,transf_propia,transf_maquila))</f>
        <v>6049.55553392483</v>
      </c>
      <c r="AJ26" s="19" t="n">
        <f aca="false">Volumen!AJ33*(mat_sem+IF(AJ$3&gt;=mes_planta,transf_propia,transf_maquila))</f>
        <v>6049.55553392483</v>
      </c>
      <c r="AK26" s="19" t="n">
        <f aca="false">Volumen!AK33*(mat_sem+IF(AK$3&gt;=mes_planta,transf_propia,transf_maquila))</f>
        <v>6049.55553392483</v>
      </c>
      <c r="AL26" s="19" t="n">
        <f aca="false">Volumen!AL33*(mat_sem+IF(AL$3&gt;=mes_planta,transf_propia,transf_maquila))</f>
        <v>12099.1110678497</v>
      </c>
      <c r="AM26" s="77" t="n">
        <f aca="false">SUMIF($C$5:$AL$5,1,$C26:$AL26)</f>
        <v>78644.2219410228</v>
      </c>
      <c r="AN26" s="77" t="n">
        <f aca="false">SUMIF($C$5:$AL$5,2,$C26:$AL26)</f>
        <v>90743.3330088724</v>
      </c>
      <c r="AO26" s="77" t="n">
        <f aca="false">SUMIF($C$5:$AL$5,3,$C26:$AL26)</f>
        <v>90743.3330088724</v>
      </c>
    </row>
    <row r="27" customFormat="false" ht="15" hidden="false" customHeight="true" outlineLevel="0" collapsed="false">
      <c r="A27" s="5" t="s">
        <v>803</v>
      </c>
      <c r="C27" s="19" t="n">
        <f aca="false">Volumen!C35*(mat_corp+IF(C$3&gt;=mes_planta,transf_propia,transf_maquila))</f>
        <v>29029.3110678497</v>
      </c>
      <c r="D27" s="19" t="n">
        <f aca="false">Volumen!D35*(mat_corp+IF(D$3&gt;=mes_planta,transf_propia,transf_maquila))</f>
        <v>29029.3110678497</v>
      </c>
      <c r="E27" s="19" t="n">
        <f aca="false">Volumen!E35*(mat_corp+IF(E$3&gt;=mes_planta,transf_propia,transf_maquila))</f>
        <v>0</v>
      </c>
      <c r="F27" s="19" t="n">
        <f aca="false">Volumen!F35*(mat_corp+IF(F$3&gt;=mes_planta,transf_propia,transf_maquila))</f>
        <v>0</v>
      </c>
      <c r="G27" s="19" t="n">
        <f aca="false">Volumen!G35*(mat_corp+IF(G$3&gt;=mes_planta,transf_propia,transf_maquila))</f>
        <v>0</v>
      </c>
      <c r="H27" s="19" t="n">
        <f aca="false">Volumen!H35*(mat_corp+IF(H$3&gt;=mes_planta,transf_propia,transf_maquila))</f>
        <v>0</v>
      </c>
      <c r="I27" s="19" t="n">
        <f aca="false">Volumen!I35*(mat_corp+IF(I$3&gt;=mes_planta,transf_propia,transf_maquila))</f>
        <v>0</v>
      </c>
      <c r="J27" s="19" t="n">
        <f aca="false">Volumen!J35*(mat_corp+IF(J$3&gt;=mes_planta,transf_propia,transf_maquila))</f>
        <v>0</v>
      </c>
      <c r="K27" s="19" t="n">
        <f aca="false">Volumen!K35*(mat_corp+IF(K$3&gt;=mes_planta,transf_propia,transf_maquila))</f>
        <v>0</v>
      </c>
      <c r="L27" s="19" t="n">
        <f aca="false">Volumen!L35*(mat_corp+IF(L$3&gt;=mes_planta,transf_propia,transf_maquila))</f>
        <v>0</v>
      </c>
      <c r="M27" s="19" t="n">
        <f aca="false">Volumen!M35*(mat_corp+IF(M$3&gt;=mes_planta,transf_propia,transf_maquila))</f>
        <v>0</v>
      </c>
      <c r="N27" s="19" t="n">
        <f aca="false">Volumen!N35*(mat_corp+IF(N$3&gt;=mes_planta,transf_propia,transf_maquila))</f>
        <v>0</v>
      </c>
      <c r="O27" s="19" t="n">
        <f aca="false">Volumen!O35*(mat_corp+IF(O$3&gt;=mes_planta,transf_propia,transf_maquila))</f>
        <v>29029.3110678497</v>
      </c>
      <c r="P27" s="19" t="n">
        <f aca="false">Volumen!P35*(mat_corp+IF(P$3&gt;=mes_planta,transf_propia,transf_maquila))</f>
        <v>29029.3110678497</v>
      </c>
      <c r="Q27" s="19" t="n">
        <f aca="false">Volumen!Q35*(mat_corp+IF(Q$3&gt;=mes_planta,transf_propia,transf_maquila))</f>
        <v>0</v>
      </c>
      <c r="R27" s="19" t="n">
        <f aca="false">Volumen!R35*(mat_corp+IF(R$3&gt;=mes_planta,transf_propia,transf_maquila))</f>
        <v>0</v>
      </c>
      <c r="S27" s="19" t="n">
        <f aca="false">Volumen!S35*(mat_corp+IF(S$3&gt;=mes_planta,transf_propia,transf_maquila))</f>
        <v>0</v>
      </c>
      <c r="T27" s="19" t="n">
        <f aca="false">Volumen!T35*(mat_corp+IF(T$3&gt;=mes_planta,transf_propia,transf_maquila))</f>
        <v>0</v>
      </c>
      <c r="U27" s="19" t="n">
        <f aca="false">Volumen!U35*(mat_corp+IF(U$3&gt;=mes_planta,transf_propia,transf_maquila))</f>
        <v>0</v>
      </c>
      <c r="V27" s="19" t="n">
        <f aca="false">Volumen!V35*(mat_corp+IF(V$3&gt;=mes_planta,transf_propia,transf_maquila))</f>
        <v>0</v>
      </c>
      <c r="W27" s="19" t="n">
        <f aca="false">Volumen!W35*(mat_corp+IF(W$3&gt;=mes_planta,transf_propia,transf_maquila))</f>
        <v>0</v>
      </c>
      <c r="X27" s="19" t="n">
        <f aca="false">Volumen!X35*(mat_corp+IF(X$3&gt;=mes_planta,transf_propia,transf_maquila))</f>
        <v>0</v>
      </c>
      <c r="Y27" s="19" t="n">
        <f aca="false">Volumen!Y35*(mat_corp+IF(Y$3&gt;=mes_planta,transf_propia,transf_maquila))</f>
        <v>0</v>
      </c>
      <c r="Z27" s="19" t="n">
        <f aca="false">Volumen!Z35*(mat_corp+IF(Z$3&gt;=mes_planta,transf_propia,transf_maquila))</f>
        <v>0</v>
      </c>
      <c r="AA27" s="19" t="n">
        <f aca="false">Volumen!AA35*(mat_corp+IF(AA$3&gt;=mes_planta,transf_propia,transf_maquila))</f>
        <v>29029.3110678497</v>
      </c>
      <c r="AB27" s="19" t="n">
        <f aca="false">Volumen!AB35*(mat_corp+IF(AB$3&gt;=mes_planta,transf_propia,transf_maquila))</f>
        <v>29029.3110678497</v>
      </c>
      <c r="AC27" s="19" t="n">
        <f aca="false">Volumen!AC35*(mat_corp+IF(AC$3&gt;=mes_planta,transf_propia,transf_maquila))</f>
        <v>0</v>
      </c>
      <c r="AD27" s="19" t="n">
        <f aca="false">Volumen!AD35*(mat_corp+IF(AD$3&gt;=mes_planta,transf_propia,transf_maquila))</f>
        <v>0</v>
      </c>
      <c r="AE27" s="19" t="n">
        <f aca="false">Volumen!AE35*(mat_corp+IF(AE$3&gt;=mes_planta,transf_propia,transf_maquila))</f>
        <v>0</v>
      </c>
      <c r="AF27" s="19" t="n">
        <f aca="false">Volumen!AF35*(mat_corp+IF(AF$3&gt;=mes_planta,transf_propia,transf_maquila))</f>
        <v>0</v>
      </c>
      <c r="AG27" s="19" t="n">
        <f aca="false">Volumen!AG35*(mat_corp+IF(AG$3&gt;=mes_planta,transf_propia,transf_maquila))</f>
        <v>0</v>
      </c>
      <c r="AH27" s="19" t="n">
        <f aca="false">Volumen!AH35*(mat_corp+IF(AH$3&gt;=mes_planta,transf_propia,transf_maquila))</f>
        <v>0</v>
      </c>
      <c r="AI27" s="19" t="n">
        <f aca="false">Volumen!AI35*(mat_corp+IF(AI$3&gt;=mes_planta,transf_propia,transf_maquila))</f>
        <v>0</v>
      </c>
      <c r="AJ27" s="19" t="n">
        <f aca="false">Volumen!AJ35*(mat_corp+IF(AJ$3&gt;=mes_planta,transf_propia,transf_maquila))</f>
        <v>0</v>
      </c>
      <c r="AK27" s="19" t="n">
        <f aca="false">Volumen!AK35*(mat_corp+IF(AK$3&gt;=mes_planta,transf_propia,transf_maquila))</f>
        <v>0</v>
      </c>
      <c r="AL27" s="19" t="n">
        <f aca="false">Volumen!AL35*(mat_corp+IF(AL$3&gt;=mes_planta,transf_propia,transf_maquila))</f>
        <v>0</v>
      </c>
      <c r="AM27" s="77" t="n">
        <f aca="false">SUMIF($C$5:$AL$5,1,$C27:$AL27)</f>
        <v>58058.6221356993</v>
      </c>
      <c r="AN27" s="77" t="n">
        <f aca="false">SUMIF($C$5:$AL$5,2,$C27:$AL27)</f>
        <v>58058.6221356993</v>
      </c>
      <c r="AO27" s="77" t="n">
        <f aca="false">SUMIF($C$5:$AL$5,3,$C27:$AL27)</f>
        <v>58058.6221356993</v>
      </c>
    </row>
    <row r="28" customFormat="false" ht="15" hidden="false" customHeight="true" outlineLevel="0" collapsed="false">
      <c r="A28" s="5" t="s">
        <v>811</v>
      </c>
      <c r="C28" s="19" t="n">
        <f aca="false">Volumen!C36*costo_prem+Volumen!C37*costo_rec_prem</f>
        <v>0</v>
      </c>
      <c r="D28" s="19" t="n">
        <f aca="false">Volumen!D36*costo_prem+Volumen!D37*costo_rec_prem</f>
        <v>0</v>
      </c>
      <c r="E28" s="19" t="n">
        <f aca="false">Volumen!E36*costo_prem+Volumen!E37*costo_rec_prem</f>
        <v>0</v>
      </c>
      <c r="F28" s="19" t="n">
        <f aca="false">Volumen!F36*costo_prem+Volumen!F37*costo_rec_prem</f>
        <v>10200</v>
      </c>
      <c r="G28" s="19" t="n">
        <f aca="false">Volumen!G36*costo_prem+Volumen!G37*costo_rec_prem</f>
        <v>11400</v>
      </c>
      <c r="H28" s="19" t="n">
        <f aca="false">Volumen!H36*costo_prem+Volumen!H37*costo_rec_prem</f>
        <v>15000</v>
      </c>
      <c r="I28" s="19" t="n">
        <f aca="false">Volumen!I36*costo_prem+Volumen!I37*costo_rec_prem</f>
        <v>14400</v>
      </c>
      <c r="J28" s="19" t="n">
        <f aca="false">Volumen!J36*costo_prem+Volumen!J37*costo_rec_prem</f>
        <v>12600</v>
      </c>
      <c r="K28" s="19" t="n">
        <f aca="false">Volumen!K36*costo_prem+Volumen!K37*costo_rec_prem</f>
        <v>12600</v>
      </c>
      <c r="L28" s="19" t="n">
        <f aca="false">Volumen!L36*costo_prem+Volumen!L37*costo_rec_prem</f>
        <v>12600</v>
      </c>
      <c r="M28" s="19" t="n">
        <f aca="false">Volumen!M36*costo_prem+Volumen!M37*costo_rec_prem</f>
        <v>13200</v>
      </c>
      <c r="N28" s="19" t="n">
        <f aca="false">Volumen!N36*costo_prem+Volumen!N37*costo_rec_prem</f>
        <v>22200</v>
      </c>
      <c r="O28" s="19" t="n">
        <f aca="false">Volumen!O36*costo_prem+Volumen!O37*costo_rec_prem</f>
        <v>25800</v>
      </c>
      <c r="P28" s="19" t="n">
        <f aca="false">Volumen!P36*costo_prem+Volumen!P37*costo_rec_prem</f>
        <v>21000</v>
      </c>
      <c r="Q28" s="19" t="n">
        <f aca="false">Volumen!Q36*costo_prem+Volumen!Q37*costo_rec_prem</f>
        <v>12600</v>
      </c>
      <c r="R28" s="19" t="n">
        <f aca="false">Volumen!R36*costo_prem+Volumen!R37*costo_rec_prem</f>
        <v>13200</v>
      </c>
      <c r="S28" s="19" t="n">
        <f aca="false">Volumen!S36*costo_prem+Volumen!S37*costo_rec_prem</f>
        <v>14400</v>
      </c>
      <c r="T28" s="19" t="n">
        <f aca="false">Volumen!T36*costo_prem+Volumen!T37*costo_rec_prem</f>
        <v>15000</v>
      </c>
      <c r="U28" s="19" t="n">
        <f aca="false">Volumen!U36*costo_prem+Volumen!U37*costo_rec_prem</f>
        <v>14400</v>
      </c>
      <c r="V28" s="19" t="n">
        <f aca="false">Volumen!V36*costo_prem+Volumen!V37*costo_rec_prem</f>
        <v>12600</v>
      </c>
      <c r="W28" s="19" t="n">
        <f aca="false">Volumen!W36*costo_prem+Volumen!W37*costo_rec_prem</f>
        <v>12600</v>
      </c>
      <c r="X28" s="19" t="n">
        <f aca="false">Volumen!X36*costo_prem+Volumen!X37*costo_rec_prem</f>
        <v>12600</v>
      </c>
      <c r="Y28" s="19" t="n">
        <f aca="false">Volumen!Y36*costo_prem+Volumen!Y37*costo_rec_prem</f>
        <v>13200</v>
      </c>
      <c r="Z28" s="19" t="n">
        <f aca="false">Volumen!Z36*costo_prem+Volumen!Z37*costo_rec_prem</f>
        <v>22200</v>
      </c>
      <c r="AA28" s="19" t="n">
        <f aca="false">Volumen!AA36*costo_prem+Volumen!AA37*costo_rec_prem</f>
        <v>25800</v>
      </c>
      <c r="AB28" s="19" t="n">
        <f aca="false">Volumen!AB36*costo_prem+Volumen!AB37*costo_rec_prem</f>
        <v>21000</v>
      </c>
      <c r="AC28" s="19" t="n">
        <f aca="false">Volumen!AC36*costo_prem+Volumen!AC37*costo_rec_prem</f>
        <v>12600</v>
      </c>
      <c r="AD28" s="19" t="n">
        <f aca="false">Volumen!AD36*costo_prem+Volumen!AD37*costo_rec_prem</f>
        <v>13200</v>
      </c>
      <c r="AE28" s="19" t="n">
        <f aca="false">Volumen!AE36*costo_prem+Volumen!AE37*costo_rec_prem</f>
        <v>14400</v>
      </c>
      <c r="AF28" s="19" t="n">
        <f aca="false">Volumen!AF36*costo_prem+Volumen!AF37*costo_rec_prem</f>
        <v>15000</v>
      </c>
      <c r="AG28" s="19" t="n">
        <f aca="false">Volumen!AG36*costo_prem+Volumen!AG37*costo_rec_prem</f>
        <v>14400</v>
      </c>
      <c r="AH28" s="19" t="n">
        <f aca="false">Volumen!AH36*costo_prem+Volumen!AH37*costo_rec_prem</f>
        <v>12600</v>
      </c>
      <c r="AI28" s="19" t="n">
        <f aca="false">Volumen!AI36*costo_prem+Volumen!AI37*costo_rec_prem</f>
        <v>12600</v>
      </c>
      <c r="AJ28" s="19" t="n">
        <f aca="false">Volumen!AJ36*costo_prem+Volumen!AJ37*costo_rec_prem</f>
        <v>12600</v>
      </c>
      <c r="AK28" s="19" t="n">
        <f aca="false">Volumen!AK36*costo_prem+Volumen!AK37*costo_rec_prem</f>
        <v>13200</v>
      </c>
      <c r="AL28" s="19" t="n">
        <f aca="false">Volumen!AL36*costo_prem+Volumen!AL37*costo_rec_prem</f>
        <v>22200</v>
      </c>
      <c r="AM28" s="77" t="n">
        <f aca="false">SUMIF($C$5:$AL$5,1,$C28:$AL28)</f>
        <v>124200</v>
      </c>
      <c r="AN28" s="77" t="n">
        <f aca="false">SUMIF($C$5:$AL$5,2,$C28:$AL28)</f>
        <v>189600</v>
      </c>
      <c r="AO28" s="77" t="n">
        <f aca="false">SUMIF($C$5:$AL$5,3,$C28:$AL28)</f>
        <v>189600</v>
      </c>
    </row>
    <row r="29" customFormat="false" ht="15" hidden="false" customHeight="true" outlineLevel="0" collapsed="false">
      <c r="A29" s="5" t="s">
        <v>812</v>
      </c>
      <c r="C29" s="19" t="n">
        <f aca="false">C18*costo_ins_pct</f>
        <v>0</v>
      </c>
      <c r="D29" s="19" t="n">
        <f aca="false">D18*costo_ins_pct</f>
        <v>2658.94396551724</v>
      </c>
      <c r="E29" s="19" t="n">
        <f aca="false">E18*costo_ins_pct</f>
        <v>5317.88793103448</v>
      </c>
      <c r="F29" s="19" t="n">
        <f aca="false">F18*costo_ins_pct</f>
        <v>7976.83189655173</v>
      </c>
      <c r="G29" s="19" t="n">
        <f aca="false">G18*costo_ins_pct</f>
        <v>10635.775862069</v>
      </c>
      <c r="H29" s="19" t="n">
        <f aca="false">H18*costo_ins_pct</f>
        <v>13294.7198275862</v>
      </c>
      <c r="I29" s="19" t="n">
        <f aca="false">I18*costo_ins_pct</f>
        <v>15953.6637931035</v>
      </c>
      <c r="J29" s="19" t="n">
        <f aca="false">J18*costo_ins_pct</f>
        <v>18612.6077586207</v>
      </c>
      <c r="K29" s="19" t="n">
        <f aca="false">K18*costo_ins_pct</f>
        <v>21271.5517241379</v>
      </c>
      <c r="L29" s="19" t="n">
        <f aca="false">L18*costo_ins_pct</f>
        <v>21271.5517241379</v>
      </c>
      <c r="M29" s="19" t="n">
        <f aca="false">M18*costo_ins_pct</f>
        <v>21271.5517241379</v>
      </c>
      <c r="N29" s="19" t="n">
        <f aca="false">N18*costo_ins_pct</f>
        <v>21271.5517241379</v>
      </c>
      <c r="O29" s="19" t="n">
        <f aca="false">O18*costo_ins_pct</f>
        <v>21271.5517241379</v>
      </c>
      <c r="P29" s="19" t="n">
        <f aca="false">P18*costo_ins_pct</f>
        <v>21271.5517241379</v>
      </c>
      <c r="Q29" s="19" t="n">
        <f aca="false">Q18*costo_ins_pct</f>
        <v>21271.5517241379</v>
      </c>
      <c r="R29" s="19" t="n">
        <f aca="false">R18*costo_ins_pct</f>
        <v>21271.5517241379</v>
      </c>
      <c r="S29" s="19" t="n">
        <f aca="false">S18*costo_ins_pct</f>
        <v>21271.5517241379</v>
      </c>
      <c r="T29" s="19" t="n">
        <f aca="false">T18*costo_ins_pct</f>
        <v>21271.5517241379</v>
      </c>
      <c r="U29" s="19" t="n">
        <f aca="false">U18*costo_ins_pct</f>
        <v>21271.5517241379</v>
      </c>
      <c r="V29" s="19" t="n">
        <f aca="false">V18*costo_ins_pct</f>
        <v>21271.5517241379</v>
      </c>
      <c r="W29" s="19" t="n">
        <f aca="false">W18*costo_ins_pct</f>
        <v>21271.5517241379</v>
      </c>
      <c r="X29" s="19" t="n">
        <f aca="false">X18*costo_ins_pct</f>
        <v>21271.5517241379</v>
      </c>
      <c r="Y29" s="19" t="n">
        <f aca="false">Y18*costo_ins_pct</f>
        <v>21271.5517241379</v>
      </c>
      <c r="Z29" s="19" t="n">
        <f aca="false">Z18*costo_ins_pct</f>
        <v>21271.5517241379</v>
      </c>
      <c r="AA29" s="19" t="n">
        <f aca="false">AA18*costo_ins_pct</f>
        <v>21271.5517241379</v>
      </c>
      <c r="AB29" s="19" t="n">
        <f aca="false">AB18*costo_ins_pct</f>
        <v>21271.5517241379</v>
      </c>
      <c r="AC29" s="19" t="n">
        <f aca="false">AC18*costo_ins_pct</f>
        <v>21271.5517241379</v>
      </c>
      <c r="AD29" s="19" t="n">
        <f aca="false">AD18*costo_ins_pct</f>
        <v>21271.5517241379</v>
      </c>
      <c r="AE29" s="19" t="n">
        <f aca="false">AE18*costo_ins_pct</f>
        <v>21271.5517241379</v>
      </c>
      <c r="AF29" s="19" t="n">
        <f aca="false">AF18*costo_ins_pct</f>
        <v>21271.5517241379</v>
      </c>
      <c r="AG29" s="19" t="n">
        <f aca="false">AG18*costo_ins_pct</f>
        <v>21271.5517241379</v>
      </c>
      <c r="AH29" s="19" t="n">
        <f aca="false">AH18*costo_ins_pct</f>
        <v>21271.5517241379</v>
      </c>
      <c r="AI29" s="19" t="n">
        <f aca="false">AI18*costo_ins_pct</f>
        <v>21271.5517241379</v>
      </c>
      <c r="AJ29" s="19" t="n">
        <f aca="false">AJ18*costo_ins_pct</f>
        <v>21271.5517241379</v>
      </c>
      <c r="AK29" s="19" t="n">
        <f aca="false">AK18*costo_ins_pct</f>
        <v>21271.5517241379</v>
      </c>
      <c r="AL29" s="19" t="n">
        <f aca="false">AL18*costo_ins_pct</f>
        <v>21271.5517241379</v>
      </c>
      <c r="AM29" s="77" t="n">
        <f aca="false">SUMIF($C$5:$AL$5,1,$C29:$AL29)</f>
        <v>159536.637931035</v>
      </c>
      <c r="AN29" s="77" t="n">
        <f aca="false">SUMIF($C$5:$AL$5,2,$C29:$AL29)</f>
        <v>255258.620689655</v>
      </c>
      <c r="AO29" s="77" t="n">
        <f aca="false">SUMIF($C$5:$AL$5,3,$C29:$AL29)</f>
        <v>255258.620689655</v>
      </c>
    </row>
    <row r="30" customFormat="false" ht="15" hidden="false" customHeight="true" outlineLevel="0" collapsed="false">
      <c r="A30" s="5" t="s">
        <v>813</v>
      </c>
      <c r="C30" s="19" t="n">
        <f aca="false">Volumen!C40*costo_mat_taller+Volumen!C39*costo_fijo_taller</f>
        <v>0</v>
      </c>
      <c r="D30" s="19" t="n">
        <f aca="false">Volumen!D40*costo_mat_taller+Volumen!D39*costo_fijo_taller</f>
        <v>12720</v>
      </c>
      <c r="E30" s="19" t="n">
        <f aca="false">Volumen!E40*costo_mat_taller+Volumen!E39*costo_fijo_taller</f>
        <v>12720</v>
      </c>
      <c r="F30" s="19" t="n">
        <f aca="false">Volumen!F40*costo_mat_taller+Volumen!F39*costo_fijo_taller</f>
        <v>12720</v>
      </c>
      <c r="G30" s="19" t="n">
        <f aca="false">Volumen!G40*costo_mat_taller+Volumen!G39*costo_fijo_taller</f>
        <v>12720</v>
      </c>
      <c r="H30" s="19" t="n">
        <f aca="false">Volumen!H40*costo_mat_taller+Volumen!H39*costo_fijo_taller</f>
        <v>12720</v>
      </c>
      <c r="I30" s="19" t="n">
        <f aca="false">Volumen!I40*costo_mat_taller+Volumen!I39*costo_fijo_taller</f>
        <v>12720</v>
      </c>
      <c r="J30" s="19" t="n">
        <f aca="false">Volumen!J40*costo_mat_taller+Volumen!J39*costo_fijo_taller</f>
        <v>12720</v>
      </c>
      <c r="K30" s="19" t="n">
        <f aca="false">Volumen!K40*costo_mat_taller+Volumen!K39*costo_fijo_taller</f>
        <v>12720</v>
      </c>
      <c r="L30" s="19" t="n">
        <f aca="false">Volumen!L40*costo_mat_taller+Volumen!L39*costo_fijo_taller</f>
        <v>12720</v>
      </c>
      <c r="M30" s="19" t="n">
        <f aca="false">Volumen!M40*costo_mat_taller+Volumen!M39*costo_fijo_taller</f>
        <v>12720</v>
      </c>
      <c r="N30" s="19" t="n">
        <f aca="false">Volumen!N40*costo_mat_taller+Volumen!N39*costo_fijo_taller</f>
        <v>12720</v>
      </c>
      <c r="O30" s="19" t="n">
        <f aca="false">Volumen!O40*costo_mat_taller+Volumen!O39*costo_fijo_taller</f>
        <v>12720</v>
      </c>
      <c r="P30" s="19" t="n">
        <f aca="false">Volumen!P40*costo_mat_taller+Volumen!P39*costo_fijo_taller</f>
        <v>12720</v>
      </c>
      <c r="Q30" s="19" t="n">
        <f aca="false">Volumen!Q40*costo_mat_taller+Volumen!Q39*costo_fijo_taller</f>
        <v>12720</v>
      </c>
      <c r="R30" s="19" t="n">
        <f aca="false">Volumen!R40*costo_mat_taller+Volumen!R39*costo_fijo_taller</f>
        <v>12720</v>
      </c>
      <c r="S30" s="19" t="n">
        <f aca="false">Volumen!S40*costo_mat_taller+Volumen!S39*costo_fijo_taller</f>
        <v>12720</v>
      </c>
      <c r="T30" s="19" t="n">
        <f aca="false">Volumen!T40*costo_mat_taller+Volumen!T39*costo_fijo_taller</f>
        <v>12720</v>
      </c>
      <c r="U30" s="19" t="n">
        <f aca="false">Volumen!U40*costo_mat_taller+Volumen!U39*costo_fijo_taller</f>
        <v>12720</v>
      </c>
      <c r="V30" s="19" t="n">
        <f aca="false">Volumen!V40*costo_mat_taller+Volumen!V39*costo_fijo_taller</f>
        <v>12720</v>
      </c>
      <c r="W30" s="19" t="n">
        <f aca="false">Volumen!W40*costo_mat_taller+Volumen!W39*costo_fijo_taller</f>
        <v>12720</v>
      </c>
      <c r="X30" s="19" t="n">
        <f aca="false">Volumen!X40*costo_mat_taller+Volumen!X39*costo_fijo_taller</f>
        <v>12720</v>
      </c>
      <c r="Y30" s="19" t="n">
        <f aca="false">Volumen!Y40*costo_mat_taller+Volumen!Y39*costo_fijo_taller</f>
        <v>12720</v>
      </c>
      <c r="Z30" s="19" t="n">
        <f aca="false">Volumen!Z40*costo_mat_taller+Volumen!Z39*costo_fijo_taller</f>
        <v>12720</v>
      </c>
      <c r="AA30" s="19" t="n">
        <f aca="false">Volumen!AA40*costo_mat_taller+Volumen!AA39*costo_fijo_taller</f>
        <v>12720</v>
      </c>
      <c r="AB30" s="19" t="n">
        <f aca="false">Volumen!AB40*costo_mat_taller+Volumen!AB39*costo_fijo_taller</f>
        <v>12720</v>
      </c>
      <c r="AC30" s="19" t="n">
        <f aca="false">Volumen!AC40*costo_mat_taller+Volumen!AC39*costo_fijo_taller</f>
        <v>12720</v>
      </c>
      <c r="AD30" s="19" t="n">
        <f aca="false">Volumen!AD40*costo_mat_taller+Volumen!AD39*costo_fijo_taller</f>
        <v>12720</v>
      </c>
      <c r="AE30" s="19" t="n">
        <f aca="false">Volumen!AE40*costo_mat_taller+Volumen!AE39*costo_fijo_taller</f>
        <v>12720</v>
      </c>
      <c r="AF30" s="19" t="n">
        <f aca="false">Volumen!AF40*costo_mat_taller+Volumen!AF39*costo_fijo_taller</f>
        <v>12720</v>
      </c>
      <c r="AG30" s="19" t="n">
        <f aca="false">Volumen!AG40*costo_mat_taller+Volumen!AG39*costo_fijo_taller</f>
        <v>12720</v>
      </c>
      <c r="AH30" s="19" t="n">
        <f aca="false">Volumen!AH40*costo_mat_taller+Volumen!AH39*costo_fijo_taller</f>
        <v>12720</v>
      </c>
      <c r="AI30" s="19" t="n">
        <f aca="false">Volumen!AI40*costo_mat_taller+Volumen!AI39*costo_fijo_taller</f>
        <v>12720</v>
      </c>
      <c r="AJ30" s="19" t="n">
        <f aca="false">Volumen!AJ40*costo_mat_taller+Volumen!AJ39*costo_fijo_taller</f>
        <v>12720</v>
      </c>
      <c r="AK30" s="19" t="n">
        <f aca="false">Volumen!AK40*costo_mat_taller+Volumen!AK39*costo_fijo_taller</f>
        <v>12720</v>
      </c>
      <c r="AL30" s="19" t="n">
        <f aca="false">Volumen!AL40*costo_mat_taller+Volumen!AL39*costo_fijo_taller</f>
        <v>12720</v>
      </c>
      <c r="AM30" s="77" t="n">
        <f aca="false">SUMIF($C$5:$AL$5,1,$C30:$AL30)</f>
        <v>139920</v>
      </c>
      <c r="AN30" s="77" t="n">
        <f aca="false">SUMIF($C$5:$AL$5,2,$C30:$AL30)</f>
        <v>152640</v>
      </c>
      <c r="AO30" s="77" t="n">
        <f aca="false">SUMIF($C$5:$AL$5,3,$C30:$AL30)</f>
        <v>152640</v>
      </c>
    </row>
    <row r="31" customFormat="false" ht="15" hidden="false" customHeight="true" outlineLevel="0" collapsed="false">
      <c r="A31" s="78" t="s">
        <v>814</v>
      </c>
      <c r="C31" s="79" t="n">
        <f aca="false">SUM(C23:C30)</f>
        <v>111919.991088048</v>
      </c>
      <c r="D31" s="79" t="n">
        <f aca="false">SUM(D23:D30)</f>
        <v>103757.600191818</v>
      </c>
      <c r="E31" s="79" t="n">
        <f aca="false">SUM(E23:E30)</f>
        <v>118464.45976533</v>
      </c>
      <c r="F31" s="79" t="n">
        <f aca="false">SUM(F23:F30)</f>
        <v>174009.181601698</v>
      </c>
      <c r="G31" s="79" t="n">
        <f aca="false">SUM(G23:G30)</f>
        <v>233378.264936468</v>
      </c>
      <c r="H31" s="79" t="n">
        <f aca="false">SUM(H23:H30)</f>
        <v>293638.599859662</v>
      </c>
      <c r="I31" s="79" t="n">
        <f aca="false">SUM(I23:I30)</f>
        <v>328576.457020781</v>
      </c>
      <c r="J31" s="79" t="n">
        <f aca="false">SUM(J23:J30)</f>
        <v>327477.154428586</v>
      </c>
      <c r="K31" s="79" t="n">
        <f aca="false">SUM(K23:K30)</f>
        <v>296990.663250207</v>
      </c>
      <c r="L31" s="79" t="n">
        <f aca="false">SUM(L23:L30)</f>
        <v>297295.53930986</v>
      </c>
      <c r="M31" s="79" t="n">
        <f aca="false">SUM(M23:M30)</f>
        <v>313287.89948528</v>
      </c>
      <c r="N31" s="79" t="n">
        <f aca="false">SUM(N23:N30)</f>
        <v>574402.628289049</v>
      </c>
      <c r="O31" s="79" t="n">
        <f aca="false">SUM(O23:O30)</f>
        <v>760938.612848503</v>
      </c>
      <c r="P31" s="79" t="n">
        <f aca="false">SUM(P23:P30)</f>
        <v>617936.701958083</v>
      </c>
      <c r="Q31" s="79" t="n">
        <f aca="false">SUM(Q23:Q30)</f>
        <v>321740.38995474</v>
      </c>
      <c r="R31" s="79" t="n">
        <f aca="false">SUM(R23:R30)</f>
        <v>338936.622482084</v>
      </c>
      <c r="S31" s="79" t="n">
        <f aca="false">SUM(S23:S30)</f>
        <v>373329.087536773</v>
      </c>
      <c r="T31" s="79" t="n">
        <f aca="false">SUM(T23:T30)</f>
        <v>390525.320064117</v>
      </c>
      <c r="U31" s="79" t="n">
        <f aca="false">SUM(U23:U30)</f>
        <v>373329.087536773</v>
      </c>
      <c r="V31" s="79" t="n">
        <f aca="false">SUM(V23:V30)</f>
        <v>321740.38995474</v>
      </c>
      <c r="W31" s="79" t="n">
        <f aca="false">SUM(W23:W30)</f>
        <v>321740.38995474</v>
      </c>
      <c r="X31" s="79" t="n">
        <f aca="false">SUM(X23:X30)</f>
        <v>321740.38995474</v>
      </c>
      <c r="Y31" s="79" t="n">
        <f aca="false">SUM(Y23:Y30)</f>
        <v>338936.622482084</v>
      </c>
      <c r="Z31" s="79" t="n">
        <f aca="false">SUM(Z23:Z30)</f>
        <v>624657.868612838</v>
      </c>
      <c r="AA31" s="79" t="n">
        <f aca="false">SUM(AA23:AA30)</f>
        <v>826584.520521452</v>
      </c>
      <c r="AB31" s="79" t="n">
        <f aca="false">SUM(AB23:AB30)</f>
        <v>669762.41854199</v>
      </c>
      <c r="AC31" s="79" t="n">
        <f aca="false">SUM(AC23:AC30)</f>
        <v>348294.361998491</v>
      </c>
      <c r="AD31" s="79" t="n">
        <f aca="false">SUM(AD23:AD30)</f>
        <v>367150.21777857</v>
      </c>
      <c r="AE31" s="79" t="n">
        <f aca="false">SUM(AE23:AE30)</f>
        <v>404861.929338727</v>
      </c>
      <c r="AF31" s="79" t="n">
        <f aca="false">SUM(AF23:AF30)</f>
        <v>423717.785118805</v>
      </c>
      <c r="AG31" s="79" t="n">
        <f aca="false">SUM(AG23:AG30)</f>
        <v>404861.929338727</v>
      </c>
      <c r="AH31" s="79" t="n">
        <f aca="false">SUM(AH23:AH30)</f>
        <v>348294.361998491</v>
      </c>
      <c r="AI31" s="79" t="n">
        <f aca="false">SUM(AI23:AI30)</f>
        <v>348294.361998491</v>
      </c>
      <c r="AJ31" s="79" t="n">
        <f aca="false">SUM(AJ23:AJ30)</f>
        <v>348294.361998491</v>
      </c>
      <c r="AK31" s="79" t="n">
        <f aca="false">SUM(AK23:AK30)</f>
        <v>367150.21777857</v>
      </c>
      <c r="AL31" s="79" t="n">
        <f aca="false">SUM(AL23:AL30)</f>
        <v>679938.632969006</v>
      </c>
      <c r="AM31" s="79" t="n">
        <f aca="false">SUMIF($C$5:$AL$5,1,$C31:$AL31)</f>
        <v>3173198.43922679</v>
      </c>
      <c r="AN31" s="79" t="n">
        <f aca="false">SUMIF($C$5:$AL$5,2,$C31:$AL31)</f>
        <v>5105551.48334022</v>
      </c>
      <c r="AO31" s="79" t="n">
        <f aca="false">SUMIF($C$5:$AL$5,3,$C31:$AL31)</f>
        <v>5537205.09937981</v>
      </c>
    </row>
    <row r="32" customFormat="false" ht="15" hidden="false" customHeight="true" outlineLevel="0" collapsed="false">
      <c r="A32" s="21" t="s">
        <v>815</v>
      </c>
      <c r="C32" s="23" t="n">
        <f aca="false">C20-C31</f>
        <v>136887.487424667</v>
      </c>
      <c r="D32" s="23" t="n">
        <f aca="false">D20-D31</f>
        <v>151222.709682104</v>
      </c>
      <c r="E32" s="23" t="n">
        <f aca="false">E20-E31</f>
        <v>70732.6786574262</v>
      </c>
      <c r="F32" s="23" t="n">
        <f aca="false">F20-F31</f>
        <v>107085.3650339</v>
      </c>
      <c r="G32" s="23" t="n">
        <f aca="false">G20-G31</f>
        <v>136804.121738103</v>
      </c>
      <c r="H32" s="23" t="n">
        <f aca="false">H20-H31</f>
        <v>169060.224630931</v>
      </c>
      <c r="I32" s="23" t="n">
        <f aca="false">I20-I31</f>
        <v>187677.967267944</v>
      </c>
      <c r="J32" s="23" t="n">
        <f aca="false">J20-J31</f>
        <v>191089.150857949</v>
      </c>
      <c r="K32" s="23" t="n">
        <f aca="false">K20-K31</f>
        <v>184723.77240305</v>
      </c>
      <c r="L32" s="23" t="n">
        <f aca="false">L20-L31</f>
        <v>185130.445330808</v>
      </c>
      <c r="M32" s="23" t="n">
        <f aca="false">M20-M31</f>
        <v>192163.871889566</v>
      </c>
      <c r="N32" s="23" t="n">
        <f aca="false">N20-N31</f>
        <v>332170.498666616</v>
      </c>
      <c r="O32" s="23" t="n">
        <f aca="false">O20-O31</f>
        <v>505506.979091861</v>
      </c>
      <c r="P32" s="23" t="n">
        <f aca="false">P20-P31</f>
        <v>437420.033317625</v>
      </c>
      <c r="Q32" s="23" t="n">
        <f aca="false">Q20-Q31</f>
        <v>194901.648206097</v>
      </c>
      <c r="R32" s="23" t="n">
        <f aca="false">R20-R31</f>
        <v>202113.684958818</v>
      </c>
      <c r="S32" s="23" t="n">
        <f aca="false">S20-S31</f>
        <v>216537.758464259</v>
      </c>
      <c r="T32" s="23" t="n">
        <f aca="false">T20-T31</f>
        <v>223749.795216979</v>
      </c>
      <c r="U32" s="23" t="n">
        <f aca="false">U20-U31</f>
        <v>216537.758464259</v>
      </c>
      <c r="V32" s="23" t="n">
        <f aca="false">V20-V31</f>
        <v>194901.648206097</v>
      </c>
      <c r="W32" s="23" t="n">
        <f aca="false">W20-W31</f>
        <v>194901.648206097</v>
      </c>
      <c r="X32" s="23" t="n">
        <f aca="false">X20-X31</f>
        <v>194901.648206097</v>
      </c>
      <c r="Y32" s="23" t="n">
        <f aca="false">Y20-Y31</f>
        <v>202113.684958818</v>
      </c>
      <c r="Z32" s="23" t="n">
        <f aca="false">Z20-Z31</f>
        <v>354677.977380758</v>
      </c>
      <c r="AA32" s="23" t="n">
        <f aca="false">AA20-AA31</f>
        <v>534907.373162209</v>
      </c>
      <c r="AB32" s="23" t="n">
        <f aca="false">AB20-AB31</f>
        <v>460630.870741584</v>
      </c>
      <c r="AC32" s="23" t="n">
        <f aca="false">AC20-AC31</f>
        <v>205202.631148381</v>
      </c>
      <c r="AD32" s="23" t="n">
        <f aca="false">AD20-AD31</f>
        <v>213058.479334994</v>
      </c>
      <c r="AE32" s="23" t="n">
        <f aca="false">AE20-AE31</f>
        <v>228770.175708221</v>
      </c>
      <c r="AF32" s="23" t="n">
        <f aca="false">AF20-AF31</f>
        <v>236626.023894834</v>
      </c>
      <c r="AG32" s="23" t="n">
        <f aca="false">AG20-AG31</f>
        <v>228770.175708221</v>
      </c>
      <c r="AH32" s="23" t="n">
        <f aca="false">AH20-AH31</f>
        <v>205202.631148381</v>
      </c>
      <c r="AI32" s="23" t="n">
        <f aca="false">AI20-AI31</f>
        <v>205202.631148381</v>
      </c>
      <c r="AJ32" s="23" t="n">
        <f aca="false">AJ20-AJ31</f>
        <v>205202.631148381</v>
      </c>
      <c r="AK32" s="23" t="n">
        <f aca="false">AK20-AK31</f>
        <v>213058.479334994</v>
      </c>
      <c r="AL32" s="23" t="n">
        <f aca="false">AL20-AL31</f>
        <v>379436.203966314</v>
      </c>
      <c r="AM32" s="79" t="n">
        <f aca="false">SUMIF($C$5:$AL$5,1,$C32:$AL32)</f>
        <v>2044748.29358306</v>
      </c>
      <c r="AN32" s="79" t="n">
        <f aca="false">SUMIF($C$5:$AL$5,2,$C32:$AL32)</f>
        <v>3138264.26467777</v>
      </c>
      <c r="AO32" s="79" t="n">
        <f aca="false">SUMIF($C$5:$AL$5,3,$C32:$AL32)</f>
        <v>3316068.3064449</v>
      </c>
    </row>
    <row r="33" customFormat="false" ht="15" hidden="false" customHeight="true" outlineLevel="0" collapsed="false">
      <c r="A33" s="5" t="s">
        <v>61</v>
      </c>
      <c r="C33" s="20" t="n">
        <f aca="false">IFERROR(C32/C20,0)</f>
        <v>0.550174328532779</v>
      </c>
      <c r="D33" s="20" t="n">
        <f aca="false">IFERROR(D32/D20,0)</f>
        <v>0.593076029113298</v>
      </c>
      <c r="E33" s="20" t="n">
        <f aca="false">IFERROR(E32/E20,0)</f>
        <v>0.373857021554819</v>
      </c>
      <c r="F33" s="20" t="n">
        <f aca="false">IFERROR(F32/F20,0)</f>
        <v>0.380958529134051</v>
      </c>
      <c r="G33" s="20" t="n">
        <f aca="false">IFERROR(G32/G20,0)</f>
        <v>0.369558700420742</v>
      </c>
      <c r="H33" s="20" t="n">
        <f aca="false">IFERROR(H32/H20,0)</f>
        <v>0.365378547950834</v>
      </c>
      <c r="I33" s="20" t="n">
        <f aca="false">IFERROR(I32/I20,0)</f>
        <v>0.363537741156445</v>
      </c>
      <c r="J33" s="20" t="n">
        <f aca="false">IFERROR(J32/J20,0)</f>
        <v>0.368495116072693</v>
      </c>
      <c r="K33" s="20" t="n">
        <f aca="false">IFERROR(K32/K20,0)</f>
        <v>0.383471531536198</v>
      </c>
      <c r="L33" s="20" t="n">
        <f aca="false">IFERROR(L32/L20,0)</f>
        <v>0.383748909107169</v>
      </c>
      <c r="M33" s="20" t="n">
        <f aca="false">IFERROR(M32/M20,0)</f>
        <v>0.380182408633912</v>
      </c>
      <c r="N33" s="20" t="n">
        <f aca="false">IFERROR(N32/N20,0)</f>
        <v>0.366402321875641</v>
      </c>
      <c r="O33" s="20" t="n">
        <f aca="false">IFERROR(O32/O20,0)</f>
        <v>0.399154122616003</v>
      </c>
      <c r="P33" s="20" t="n">
        <f aca="false">IFERROR(P32/P20,0)</f>
        <v>0.414475995364118</v>
      </c>
      <c r="Q33" s="20" t="n">
        <f aca="false">IFERROR(Q32/Q20,0)</f>
        <v>0.377246979165528</v>
      </c>
      <c r="R33" s="20" t="n">
        <f aca="false">IFERROR(R32/R20,0)</f>
        <v>0.373558026267075</v>
      </c>
      <c r="S33" s="20" t="n">
        <f aca="false">IFERROR(S32/S20,0)</f>
        <v>0.367095997905738</v>
      </c>
      <c r="T33" s="20" t="n">
        <f aca="false">IFERROR(T32/T20,0)</f>
        <v>0.364250137521182</v>
      </c>
      <c r="U33" s="20" t="n">
        <f aca="false">IFERROR(U32/U20,0)</f>
        <v>0.367095997905738</v>
      </c>
      <c r="V33" s="20" t="n">
        <f aca="false">IFERROR(V32/V20,0)</f>
        <v>0.377246979165528</v>
      </c>
      <c r="W33" s="20" t="n">
        <f aca="false">IFERROR(W32/W20,0)</f>
        <v>0.377246979165528</v>
      </c>
      <c r="X33" s="20" t="n">
        <f aca="false">IFERROR(X32/X20,0)</f>
        <v>0.377246979165528</v>
      </c>
      <c r="Y33" s="20" t="n">
        <f aca="false">IFERROR(Y32/Y20,0)</f>
        <v>0.373558026267075</v>
      </c>
      <c r="Z33" s="20" t="n">
        <f aca="false">IFERROR(Z32/Z20,0)</f>
        <v>0.362161743422059</v>
      </c>
      <c r="AA33" s="20" t="n">
        <f aca="false">IFERROR(AA32/AA20,0)</f>
        <v>0.392883259638778</v>
      </c>
      <c r="AB33" s="20" t="n">
        <f aca="false">IFERROR(AB32/AB20,0)</f>
        <v>0.407496112289843</v>
      </c>
      <c r="AC33" s="20" t="n">
        <f aca="false">IFERROR(AC32/AC20,0)</f>
        <v>0.37073847498559</v>
      </c>
      <c r="AD33" s="20" t="n">
        <f aca="false">IFERROR(AD32/AD20,0)</f>
        <v>0.367210075262441</v>
      </c>
      <c r="AE33" s="20" t="n">
        <f aca="false">IFERROR(AE32/AE20,0)</f>
        <v>0.361045745450778</v>
      </c>
      <c r="AF33" s="20" t="n">
        <f aca="false">IFERROR(AF32/AF20,0)</f>
        <v>0.358337612414788</v>
      </c>
      <c r="AG33" s="20" t="n">
        <f aca="false">IFERROR(AG32/AG20,0)</f>
        <v>0.361045745450778</v>
      </c>
      <c r="AH33" s="20" t="n">
        <f aca="false">IFERROR(AH32/AH20,0)</f>
        <v>0.37073847498559</v>
      </c>
      <c r="AI33" s="20" t="n">
        <f aca="false">IFERROR(AI32/AI20,0)</f>
        <v>0.37073847498559</v>
      </c>
      <c r="AJ33" s="20" t="n">
        <f aca="false">IFERROR(AJ32/AJ20,0)</f>
        <v>0.37073847498559</v>
      </c>
      <c r="AK33" s="20" t="n">
        <f aca="false">IFERROR(AK32/AK20,0)</f>
        <v>0.367210075262441</v>
      </c>
      <c r="AL33" s="20" t="n">
        <f aca="false">IFERROR(AL32/AL20,0)</f>
        <v>0.358169923182233</v>
      </c>
      <c r="AM33" s="80" t="n">
        <f aca="false">IFERROR(AM32/AM20,0)</f>
        <v>0.391868372424333</v>
      </c>
      <c r="AN33" s="80" t="n">
        <f aca="false">IFERROR(AN32/AN20,0)</f>
        <v>0.380681029344</v>
      </c>
      <c r="AO33" s="80" t="n">
        <f aca="false">IFERROR(AO32/AO20,0)</f>
        <v>0.374558443463771</v>
      </c>
    </row>
    <row r="35" customFormat="false" ht="15" hidden="false" customHeight="true" outlineLevel="0" collapsed="false">
      <c r="A35" s="28" t="s">
        <v>816</v>
      </c>
      <c r="B35" s="29"/>
    </row>
    <row r="36" customFormat="false" ht="15" hidden="false" customHeight="true" outlineLevel="0" collapsed="false">
      <c r="A36" s="5" t="s">
        <v>817</v>
      </c>
      <c r="C36" s="19" t="n">
        <f aca="false">C18*(comision_mp+publicidad_ins)</f>
        <v>0</v>
      </c>
      <c r="D36" s="19" t="n">
        <f aca="false">D18*(comision_mp+publicidad_ins)</f>
        <v>2038.52370689655</v>
      </c>
      <c r="E36" s="19" t="n">
        <f aca="false">E18*(comision_mp+publicidad_ins)</f>
        <v>4077.0474137931</v>
      </c>
      <c r="F36" s="19" t="n">
        <f aca="false">F18*(comision_mp+publicidad_ins)</f>
        <v>6115.57112068966</v>
      </c>
      <c r="G36" s="19" t="n">
        <f aca="false">G18*(comision_mp+publicidad_ins)</f>
        <v>8154.09482758621</v>
      </c>
      <c r="H36" s="19" t="n">
        <f aca="false">H18*(comision_mp+publicidad_ins)</f>
        <v>10192.6185344828</v>
      </c>
      <c r="I36" s="19" t="n">
        <f aca="false">I18*(comision_mp+publicidad_ins)</f>
        <v>12231.1422413793</v>
      </c>
      <c r="J36" s="19" t="n">
        <f aca="false">J18*(comision_mp+publicidad_ins)</f>
        <v>14269.6659482759</v>
      </c>
      <c r="K36" s="19" t="n">
        <f aca="false">K18*(comision_mp+publicidad_ins)</f>
        <v>16308.1896551724</v>
      </c>
      <c r="L36" s="19" t="n">
        <f aca="false">L18*(comision_mp+publicidad_ins)</f>
        <v>16308.1896551724</v>
      </c>
      <c r="M36" s="19" t="n">
        <f aca="false">M18*(comision_mp+publicidad_ins)</f>
        <v>16308.1896551724</v>
      </c>
      <c r="N36" s="19" t="n">
        <f aca="false">N18*(comision_mp+publicidad_ins)</f>
        <v>16308.1896551724</v>
      </c>
      <c r="O36" s="19" t="n">
        <f aca="false">O18*(comision_mp+publicidad_ins)</f>
        <v>16308.1896551724</v>
      </c>
      <c r="P36" s="19" t="n">
        <f aca="false">P18*(comision_mp+publicidad_ins)</f>
        <v>16308.1896551724</v>
      </c>
      <c r="Q36" s="19" t="n">
        <f aca="false">Q18*(comision_mp+publicidad_ins)</f>
        <v>16308.1896551724</v>
      </c>
      <c r="R36" s="19" t="n">
        <f aca="false">R18*(comision_mp+publicidad_ins)</f>
        <v>16308.1896551724</v>
      </c>
      <c r="S36" s="19" t="n">
        <f aca="false">S18*(comision_mp+publicidad_ins)</f>
        <v>16308.1896551724</v>
      </c>
      <c r="T36" s="19" t="n">
        <f aca="false">T18*(comision_mp+publicidad_ins)</f>
        <v>16308.1896551724</v>
      </c>
      <c r="U36" s="19" t="n">
        <f aca="false">U18*(comision_mp+publicidad_ins)</f>
        <v>16308.1896551724</v>
      </c>
      <c r="V36" s="19" t="n">
        <f aca="false">V18*(comision_mp+publicidad_ins)</f>
        <v>16308.1896551724</v>
      </c>
      <c r="W36" s="19" t="n">
        <f aca="false">W18*(comision_mp+publicidad_ins)</f>
        <v>16308.1896551724</v>
      </c>
      <c r="X36" s="19" t="n">
        <f aca="false">X18*(comision_mp+publicidad_ins)</f>
        <v>16308.1896551724</v>
      </c>
      <c r="Y36" s="19" t="n">
        <f aca="false">Y18*(comision_mp+publicidad_ins)</f>
        <v>16308.1896551724</v>
      </c>
      <c r="Z36" s="19" t="n">
        <f aca="false">Z18*(comision_mp+publicidad_ins)</f>
        <v>16308.1896551724</v>
      </c>
      <c r="AA36" s="19" t="n">
        <f aca="false">AA18*(comision_mp+publicidad_ins)</f>
        <v>16308.1896551724</v>
      </c>
      <c r="AB36" s="19" t="n">
        <f aca="false">AB18*(comision_mp+publicidad_ins)</f>
        <v>16308.1896551724</v>
      </c>
      <c r="AC36" s="19" t="n">
        <f aca="false">AC18*(comision_mp+publicidad_ins)</f>
        <v>16308.1896551724</v>
      </c>
      <c r="AD36" s="19" t="n">
        <f aca="false">AD18*(comision_mp+publicidad_ins)</f>
        <v>16308.1896551724</v>
      </c>
      <c r="AE36" s="19" t="n">
        <f aca="false">AE18*(comision_mp+publicidad_ins)</f>
        <v>16308.1896551724</v>
      </c>
      <c r="AF36" s="19" t="n">
        <f aca="false">AF18*(comision_mp+publicidad_ins)</f>
        <v>16308.1896551724</v>
      </c>
      <c r="AG36" s="19" t="n">
        <f aca="false">AG18*(comision_mp+publicidad_ins)</f>
        <v>16308.1896551724</v>
      </c>
      <c r="AH36" s="19" t="n">
        <f aca="false">AH18*(comision_mp+publicidad_ins)</f>
        <v>16308.1896551724</v>
      </c>
      <c r="AI36" s="19" t="n">
        <f aca="false">AI18*(comision_mp+publicidad_ins)</f>
        <v>16308.1896551724</v>
      </c>
      <c r="AJ36" s="19" t="n">
        <f aca="false">AJ18*(comision_mp+publicidad_ins)</f>
        <v>16308.1896551724</v>
      </c>
      <c r="AK36" s="19" t="n">
        <f aca="false">AK18*(comision_mp+publicidad_ins)</f>
        <v>16308.1896551724</v>
      </c>
      <c r="AL36" s="19" t="n">
        <f aca="false">AL18*(comision_mp+publicidad_ins)</f>
        <v>16308.1896551724</v>
      </c>
      <c r="AM36" s="77" t="n">
        <f aca="false">SUMIF($C$5:$AL$5,1,$C36:$AL36)</f>
        <v>122311.422413793</v>
      </c>
      <c r="AN36" s="77" t="n">
        <f aca="false">SUMIF($C$5:$AL$5,2,$C36:$AL36)</f>
        <v>195698.275862069</v>
      </c>
      <c r="AO36" s="77" t="n">
        <f aca="false">SUMIF($C$5:$AL$5,3,$C36:$AL36)</f>
        <v>195698.275862069</v>
      </c>
    </row>
    <row r="37" customFormat="false" ht="15" hidden="false" customHeight="true" outlineLevel="0" collapsed="false">
      <c r="A37" s="5" t="s">
        <v>818</v>
      </c>
      <c r="C37" s="19" t="n">
        <f aca="false">Volumen!C38*envio_ins</f>
        <v>0</v>
      </c>
      <c r="D37" s="19" t="n">
        <f aca="false">Volumen!D38*envio_ins</f>
        <v>2656.25</v>
      </c>
      <c r="E37" s="19" t="n">
        <f aca="false">Volumen!E38*envio_ins</f>
        <v>5312.5</v>
      </c>
      <c r="F37" s="19" t="n">
        <f aca="false">Volumen!F38*envio_ins</f>
        <v>7968.75</v>
      </c>
      <c r="G37" s="19" t="n">
        <f aca="false">Volumen!G38*envio_ins</f>
        <v>10625</v>
      </c>
      <c r="H37" s="19" t="n">
        <f aca="false">Volumen!H38*envio_ins</f>
        <v>13281.25</v>
      </c>
      <c r="I37" s="19" t="n">
        <f aca="false">Volumen!I38*envio_ins</f>
        <v>15937.5</v>
      </c>
      <c r="J37" s="19" t="n">
        <f aca="false">Volumen!J38*envio_ins</f>
        <v>18593.75</v>
      </c>
      <c r="K37" s="19" t="n">
        <f aca="false">Volumen!K38*envio_ins</f>
        <v>21250</v>
      </c>
      <c r="L37" s="19" t="n">
        <f aca="false">Volumen!L38*envio_ins</f>
        <v>21250</v>
      </c>
      <c r="M37" s="19" t="n">
        <f aca="false">Volumen!M38*envio_ins</f>
        <v>21250</v>
      </c>
      <c r="N37" s="19" t="n">
        <f aca="false">Volumen!N38*envio_ins</f>
        <v>21250</v>
      </c>
      <c r="O37" s="19" t="n">
        <f aca="false">Volumen!O38*envio_ins</f>
        <v>21250</v>
      </c>
      <c r="P37" s="19" t="n">
        <f aca="false">Volumen!P38*envio_ins</f>
        <v>21250</v>
      </c>
      <c r="Q37" s="19" t="n">
        <f aca="false">Volumen!Q38*envio_ins</f>
        <v>21250</v>
      </c>
      <c r="R37" s="19" t="n">
        <f aca="false">Volumen!R38*envio_ins</f>
        <v>21250</v>
      </c>
      <c r="S37" s="19" t="n">
        <f aca="false">Volumen!S38*envio_ins</f>
        <v>21250</v>
      </c>
      <c r="T37" s="19" t="n">
        <f aca="false">Volumen!T38*envio_ins</f>
        <v>21250</v>
      </c>
      <c r="U37" s="19" t="n">
        <f aca="false">Volumen!U38*envio_ins</f>
        <v>21250</v>
      </c>
      <c r="V37" s="19" t="n">
        <f aca="false">Volumen!V38*envio_ins</f>
        <v>21250</v>
      </c>
      <c r="W37" s="19" t="n">
        <f aca="false">Volumen!W38*envio_ins</f>
        <v>21250</v>
      </c>
      <c r="X37" s="19" t="n">
        <f aca="false">Volumen!X38*envio_ins</f>
        <v>21250</v>
      </c>
      <c r="Y37" s="19" t="n">
        <f aca="false">Volumen!Y38*envio_ins</f>
        <v>21250</v>
      </c>
      <c r="Z37" s="19" t="n">
        <f aca="false">Volumen!Z38*envio_ins</f>
        <v>21250</v>
      </c>
      <c r="AA37" s="19" t="n">
        <f aca="false">Volumen!AA38*envio_ins</f>
        <v>21250</v>
      </c>
      <c r="AB37" s="19" t="n">
        <f aca="false">Volumen!AB38*envio_ins</f>
        <v>21250</v>
      </c>
      <c r="AC37" s="19" t="n">
        <f aca="false">Volumen!AC38*envio_ins</f>
        <v>21250</v>
      </c>
      <c r="AD37" s="19" t="n">
        <f aca="false">Volumen!AD38*envio_ins</f>
        <v>21250</v>
      </c>
      <c r="AE37" s="19" t="n">
        <f aca="false">Volumen!AE38*envio_ins</f>
        <v>21250</v>
      </c>
      <c r="AF37" s="19" t="n">
        <f aca="false">Volumen!AF38*envio_ins</f>
        <v>21250</v>
      </c>
      <c r="AG37" s="19" t="n">
        <f aca="false">Volumen!AG38*envio_ins</f>
        <v>21250</v>
      </c>
      <c r="AH37" s="19" t="n">
        <f aca="false">Volumen!AH38*envio_ins</f>
        <v>21250</v>
      </c>
      <c r="AI37" s="19" t="n">
        <f aca="false">Volumen!AI38*envio_ins</f>
        <v>21250</v>
      </c>
      <c r="AJ37" s="19" t="n">
        <f aca="false">Volumen!AJ38*envio_ins</f>
        <v>21250</v>
      </c>
      <c r="AK37" s="19" t="n">
        <f aca="false">Volumen!AK38*envio_ins</f>
        <v>21250</v>
      </c>
      <c r="AL37" s="19" t="n">
        <f aca="false">Volumen!AL38*envio_ins</f>
        <v>21250</v>
      </c>
      <c r="AM37" s="77" t="n">
        <f aca="false">SUMIF($C$5:$AL$5,1,$C37:$AL37)</f>
        <v>159375</v>
      </c>
      <c r="AN37" s="77" t="n">
        <f aca="false">SUMIF($C$5:$AL$5,2,$C37:$AL37)</f>
        <v>255000</v>
      </c>
      <c r="AO37" s="77" t="n">
        <f aca="false">SUMIF($C$5:$AL$5,3,$C37:$AL37)</f>
        <v>255000</v>
      </c>
    </row>
    <row r="38" customFormat="false" ht="15" hidden="false" customHeight="true" outlineLevel="0" collapsed="false">
      <c r="A38" s="5" t="s">
        <v>819</v>
      </c>
      <c r="C38" s="19" t="n">
        <f aca="false">pct_garantia*(C23+C24)</f>
        <v>828.906800201988</v>
      </c>
      <c r="D38" s="19" t="n">
        <f aca="false">pct_garantia*(D23+D24)</f>
        <v>471.142878035522</v>
      </c>
      <c r="E38" s="19" t="n">
        <f aca="false">pct_garantia*(E23+E24)</f>
        <v>938.002476666186</v>
      </c>
      <c r="F38" s="19" t="n">
        <f aca="false">pct_garantia*(F23+F24)</f>
        <v>1360.45203190767</v>
      </c>
      <c r="G38" s="19" t="n">
        <f aca="false">pct_garantia*(G23+G24)</f>
        <v>1911.14520213318</v>
      </c>
      <c r="H38" s="19" t="n">
        <f aca="false">pct_garantia*(H23+H24)</f>
        <v>2446.75088824293</v>
      </c>
      <c r="I38" s="19" t="n">
        <f aca="false">pct_garantia*(I23+I24)</f>
        <v>2771.13179673193</v>
      </c>
      <c r="J38" s="19" t="n">
        <f aca="false">pct_garantia*(J23+J24)</f>
        <v>2748.50057055827</v>
      </c>
      <c r="K38" s="19" t="n">
        <f aca="false">pct_garantia*(K23+K24)</f>
        <v>2413.99745852278</v>
      </c>
      <c r="L38" s="19" t="n">
        <f aca="false">pct_garantia*(L23+L24)</f>
        <v>2413.99745852278</v>
      </c>
      <c r="M38" s="19" t="n">
        <f aca="false">pct_garantia*(M23+M24)</f>
        <v>2564.87229968046</v>
      </c>
      <c r="N38" s="19" t="n">
        <f aca="false">pct_garantia*(N23+N24)</f>
        <v>5025.5240323789</v>
      </c>
      <c r="O38" s="19" t="n">
        <f aca="false">pct_garantia*(O23+O24)</f>
        <v>6564.59076729494</v>
      </c>
      <c r="P38" s="19" t="n">
        <f aca="false">pct_garantia*(P23+P24)</f>
        <v>5182.57165839074</v>
      </c>
      <c r="Q38" s="19" t="n">
        <f aca="false">pct_garantia*(Q23+Q24)</f>
        <v>2655.39720437506</v>
      </c>
      <c r="R38" s="19" t="n">
        <f aca="false">pct_garantia*(R23+R24)</f>
        <v>2821.3595296485</v>
      </c>
      <c r="S38" s="19" t="n">
        <f aca="false">pct_garantia*(S23+S24)</f>
        <v>3153.28418019539</v>
      </c>
      <c r="T38" s="19" t="n">
        <f aca="false">pct_garantia*(T23+T24)</f>
        <v>3319.24650546883</v>
      </c>
      <c r="U38" s="19" t="n">
        <f aca="false">pct_garantia*(U23+U24)</f>
        <v>3153.28418019539</v>
      </c>
      <c r="V38" s="19" t="n">
        <f aca="false">pct_garantia*(V23+V24)</f>
        <v>2655.39720437506</v>
      </c>
      <c r="W38" s="19" t="n">
        <f aca="false">pct_garantia*(W23+W24)</f>
        <v>2655.39720437506</v>
      </c>
      <c r="X38" s="19" t="n">
        <f aca="false">pct_garantia*(X23+X24)</f>
        <v>2655.39720437506</v>
      </c>
      <c r="Y38" s="19" t="n">
        <f aca="false">pct_garantia*(Y23+Y24)</f>
        <v>2821.3595296485</v>
      </c>
      <c r="Z38" s="19" t="n">
        <f aca="false">pct_garantia*(Z23+Z24)</f>
        <v>5528.07643561679</v>
      </c>
      <c r="AA38" s="19" t="n">
        <f aca="false">pct_garantia*(AA23+AA24)</f>
        <v>7221.04984402443</v>
      </c>
      <c r="AB38" s="19" t="n">
        <f aca="false">pct_garantia*(AB23+AB24)</f>
        <v>5700.82882422982</v>
      </c>
      <c r="AC38" s="19" t="n">
        <f aca="false">pct_garantia*(AC23+AC24)</f>
        <v>2920.93692481257</v>
      </c>
      <c r="AD38" s="19" t="n">
        <f aca="false">pct_garantia*(AD23+AD24)</f>
        <v>3103.49548261336</v>
      </c>
      <c r="AE38" s="19" t="n">
        <f aca="false">pct_garantia*(AE23+AE24)</f>
        <v>3468.61259821493</v>
      </c>
      <c r="AF38" s="19" t="n">
        <f aca="false">pct_garantia*(AF23+AF24)</f>
        <v>3651.17115601571</v>
      </c>
      <c r="AG38" s="19" t="n">
        <f aca="false">pct_garantia*(AG23+AG24)</f>
        <v>3468.61259821493</v>
      </c>
      <c r="AH38" s="19" t="n">
        <f aca="false">pct_garantia*(AH23+AH24)</f>
        <v>2920.93692481257</v>
      </c>
      <c r="AI38" s="19" t="n">
        <f aca="false">pct_garantia*(AI23+AI24)</f>
        <v>2920.93692481257</v>
      </c>
      <c r="AJ38" s="19" t="n">
        <f aca="false">pct_garantia*(AJ23+AJ24)</f>
        <v>2920.93692481257</v>
      </c>
      <c r="AK38" s="19" t="n">
        <f aca="false">pct_garantia*(AK23+AK24)</f>
        <v>3103.49548261336</v>
      </c>
      <c r="AL38" s="19" t="n">
        <f aca="false">pct_garantia*(AL23+AL24)</f>
        <v>6080.88407917847</v>
      </c>
      <c r="AM38" s="77" t="n">
        <f aca="false">SUMIF($C$5:$AL$5,1,$C38:$AL38)</f>
        <v>25894.4238935826</v>
      </c>
      <c r="AN38" s="77" t="n">
        <f aca="false">SUMIF($C$5:$AL$5,2,$C38:$AL38)</f>
        <v>43165.3616039593</v>
      </c>
      <c r="AO38" s="77" t="n">
        <f aca="false">SUMIF($C$5:$AL$5,3,$C38:$AL38)</f>
        <v>47481.8977643553</v>
      </c>
    </row>
    <row r="39" customFormat="false" ht="15" hidden="false" customHeight="true" outlineLevel="0" collapsed="false">
      <c r="A39" s="5" t="s">
        <v>820</v>
      </c>
      <c r="C39" s="19" t="n">
        <f aca="false">Volumen!C25*cost_sem*perdida_devol</f>
        <v>290.378665628392</v>
      </c>
      <c r="D39" s="19" t="n">
        <f aca="false">Volumen!D25*cost_sem*perdida_devol</f>
        <v>0</v>
      </c>
      <c r="E39" s="19" t="n">
        <f aca="false">Volumen!E25*cost_sem*perdida_devol</f>
        <v>435.567998442588</v>
      </c>
      <c r="F39" s="19" t="n">
        <f aca="false">Volumen!F25*cost_sem*perdida_devol</f>
        <v>435.567998442588</v>
      </c>
      <c r="G39" s="19" t="n">
        <f aca="false">Volumen!G25*cost_sem*perdida_devol</f>
        <v>435.567998442588</v>
      </c>
      <c r="H39" s="19" t="n">
        <f aca="false">Volumen!H25*cost_sem*perdida_devol</f>
        <v>435.567998442588</v>
      </c>
      <c r="I39" s="19" t="n">
        <f aca="false">Volumen!I25*cost_sem*perdida_devol</f>
        <v>435.567998442588</v>
      </c>
      <c r="J39" s="19" t="n">
        <f aca="false">Volumen!J25*cost_sem*perdida_devol</f>
        <v>435.567998442588</v>
      </c>
      <c r="K39" s="19" t="n">
        <f aca="false">Volumen!K25*cost_sem*perdida_devol</f>
        <v>0</v>
      </c>
      <c r="L39" s="19" t="n">
        <f aca="false">Volumen!L25*cost_sem*perdida_devol</f>
        <v>0</v>
      </c>
      <c r="M39" s="19" t="n">
        <f aca="false">Volumen!M25*cost_sem*perdida_devol</f>
        <v>0</v>
      </c>
      <c r="N39" s="19" t="n">
        <f aca="false">Volumen!N25*cost_sem*perdida_devol</f>
        <v>0</v>
      </c>
      <c r="O39" s="19" t="n">
        <f aca="false">Volumen!O25*cost_sem*perdida_devol</f>
        <v>0</v>
      </c>
      <c r="P39" s="19" t="n">
        <f aca="false">Volumen!P25*cost_sem*perdida_devol</f>
        <v>0</v>
      </c>
      <c r="Q39" s="19" t="n">
        <f aca="false">Volumen!Q25*cost_sem*perdida_devol</f>
        <v>0</v>
      </c>
      <c r="R39" s="19" t="n">
        <f aca="false">Volumen!R25*cost_sem*perdida_devol</f>
        <v>0</v>
      </c>
      <c r="S39" s="19" t="n">
        <f aca="false">Volumen!S25*cost_sem*perdida_devol</f>
        <v>0</v>
      </c>
      <c r="T39" s="19" t="n">
        <f aca="false">Volumen!T25*cost_sem*perdida_devol</f>
        <v>0</v>
      </c>
      <c r="U39" s="19" t="n">
        <f aca="false">Volumen!U25*cost_sem*perdida_devol</f>
        <v>0</v>
      </c>
      <c r="V39" s="19" t="n">
        <f aca="false">Volumen!V25*cost_sem*perdida_devol</f>
        <v>0</v>
      </c>
      <c r="W39" s="19" t="n">
        <f aca="false">Volumen!W25*cost_sem*perdida_devol</f>
        <v>0</v>
      </c>
      <c r="X39" s="19" t="n">
        <f aca="false">Volumen!X25*cost_sem*perdida_devol</f>
        <v>0</v>
      </c>
      <c r="Y39" s="19" t="n">
        <f aca="false">Volumen!Y25*cost_sem*perdida_devol</f>
        <v>0</v>
      </c>
      <c r="Z39" s="19" t="n">
        <f aca="false">Volumen!Z25*cost_sem*perdida_devol</f>
        <v>0</v>
      </c>
      <c r="AA39" s="19" t="n">
        <f aca="false">Volumen!AA25*cost_sem*perdida_devol</f>
        <v>0</v>
      </c>
      <c r="AB39" s="19" t="n">
        <f aca="false">Volumen!AB25*cost_sem*perdida_devol</f>
        <v>0</v>
      </c>
      <c r="AC39" s="19" t="n">
        <f aca="false">Volumen!AC25*cost_sem*perdida_devol</f>
        <v>0</v>
      </c>
      <c r="AD39" s="19" t="n">
        <f aca="false">Volumen!AD25*cost_sem*perdida_devol</f>
        <v>0</v>
      </c>
      <c r="AE39" s="19" t="n">
        <f aca="false">Volumen!AE25*cost_sem*perdida_devol</f>
        <v>0</v>
      </c>
      <c r="AF39" s="19" t="n">
        <f aca="false">Volumen!AF25*cost_sem*perdida_devol</f>
        <v>0</v>
      </c>
      <c r="AG39" s="19" t="n">
        <f aca="false">Volumen!AG25*cost_sem*perdida_devol</f>
        <v>0</v>
      </c>
      <c r="AH39" s="19" t="n">
        <f aca="false">Volumen!AH25*cost_sem*perdida_devol</f>
        <v>0</v>
      </c>
      <c r="AI39" s="19" t="n">
        <f aca="false">Volumen!AI25*cost_sem*perdida_devol</f>
        <v>0</v>
      </c>
      <c r="AJ39" s="19" t="n">
        <f aca="false">Volumen!AJ25*cost_sem*perdida_devol</f>
        <v>0</v>
      </c>
      <c r="AK39" s="19" t="n">
        <f aca="false">Volumen!AK25*cost_sem*perdida_devol</f>
        <v>0</v>
      </c>
      <c r="AL39" s="19" t="n">
        <f aca="false">Volumen!AL25*cost_sem*perdida_devol</f>
        <v>0</v>
      </c>
      <c r="AM39" s="77" t="n">
        <f aca="false">SUMIF($C$5:$AL$5,1,$C39:$AL39)</f>
        <v>2903.78665628392</v>
      </c>
      <c r="AN39" s="77" t="n">
        <f aca="false">SUMIF($C$5:$AL$5,2,$C39:$AL39)</f>
        <v>0</v>
      </c>
      <c r="AO39" s="77" t="n">
        <f aca="false">SUMIF($C$5:$AL$5,3,$C39:$AL39)</f>
        <v>0</v>
      </c>
    </row>
    <row r="40" customFormat="false" ht="15" hidden="false" customHeight="true" outlineLevel="0" collapsed="false">
      <c r="A40" s="5" t="s">
        <v>821</v>
      </c>
      <c r="C40" s="19" t="n">
        <f aca="false">Volumen!C16*pct_qr*costo_registro</f>
        <v>137.124</v>
      </c>
      <c r="D40" s="19" t="n">
        <f aca="false">Volumen!D16*pct_qr*costo_registro</f>
        <v>77.94</v>
      </c>
      <c r="E40" s="19" t="n">
        <f aca="false">Volumen!E16*pct_qr*costo_registro</f>
        <v>161.52</v>
      </c>
      <c r="F40" s="19" t="n">
        <f aca="false">Volumen!F16*pct_qr*costo_registro</f>
        <v>234.264</v>
      </c>
      <c r="G40" s="19" t="n">
        <f aca="false">Volumen!G16*pct_qr*costo_registro</f>
        <v>329.091</v>
      </c>
      <c r="H40" s="19" t="n">
        <f aca="false">Volumen!H16*pct_qr*costo_registro</f>
        <v>421.32</v>
      </c>
      <c r="I40" s="19" t="n">
        <f aca="false">Volumen!I16*pct_qr*costo_registro</f>
        <v>477.177</v>
      </c>
      <c r="J40" s="19" t="n">
        <f aca="false">Volumen!J16*pct_qr*costo_registro</f>
        <v>473.28</v>
      </c>
      <c r="K40" s="19" t="n">
        <f aca="false">Volumen!K16*pct_qr*costo_registro</f>
        <v>415.68</v>
      </c>
      <c r="L40" s="19" t="n">
        <f aca="false">Volumen!L16*pct_qr*costo_registro</f>
        <v>415.68</v>
      </c>
      <c r="M40" s="19" t="n">
        <f aca="false">Volumen!M16*pct_qr*costo_registro</f>
        <v>441.66</v>
      </c>
      <c r="N40" s="19" t="n">
        <f aca="false">Volumen!N16*pct_qr*costo_registro</f>
        <v>831.36</v>
      </c>
      <c r="O40" s="19" t="n">
        <f aca="false">Volumen!O16*pct_qr*costo_registro</f>
        <v>1085.964</v>
      </c>
      <c r="P40" s="19" t="n">
        <f aca="false">Volumen!P16*pct_qr*costo_registro</f>
        <v>857.34</v>
      </c>
      <c r="Q40" s="19" t="n">
        <f aca="false">Volumen!Q16*pct_qr*costo_registro</f>
        <v>457.248</v>
      </c>
      <c r="R40" s="19" t="n">
        <f aca="false">Volumen!R16*pct_qr*costo_registro</f>
        <v>485.826</v>
      </c>
      <c r="S40" s="19" t="n">
        <f aca="false">Volumen!S16*pct_qr*costo_registro</f>
        <v>542.982</v>
      </c>
      <c r="T40" s="19" t="n">
        <f aca="false">Volumen!T16*pct_qr*costo_registro</f>
        <v>571.56</v>
      </c>
      <c r="U40" s="19" t="n">
        <f aca="false">Volumen!U16*pct_qr*costo_registro</f>
        <v>542.982</v>
      </c>
      <c r="V40" s="19" t="n">
        <f aca="false">Volumen!V16*pct_qr*costo_registro</f>
        <v>457.248</v>
      </c>
      <c r="W40" s="19" t="n">
        <f aca="false">Volumen!W16*pct_qr*costo_registro</f>
        <v>457.248</v>
      </c>
      <c r="X40" s="19" t="n">
        <f aca="false">Volumen!X16*pct_qr*costo_registro</f>
        <v>457.248</v>
      </c>
      <c r="Y40" s="19" t="n">
        <f aca="false">Volumen!Y16*pct_qr*costo_registro</f>
        <v>485.826</v>
      </c>
      <c r="Z40" s="19" t="n">
        <f aca="false">Volumen!Z16*pct_qr*costo_registro</f>
        <v>914.496</v>
      </c>
      <c r="AA40" s="19" t="n">
        <f aca="false">Volumen!AA16*pct_qr*costo_registro</f>
        <v>1194.5604</v>
      </c>
      <c r="AB40" s="19" t="n">
        <f aca="false">Volumen!AB16*pct_qr*costo_registro</f>
        <v>943.074</v>
      </c>
      <c r="AC40" s="19" t="n">
        <f aca="false">Volumen!AC16*pct_qr*costo_registro</f>
        <v>502.9728</v>
      </c>
      <c r="AD40" s="19" t="n">
        <f aca="false">Volumen!AD16*pct_qr*costo_registro</f>
        <v>534.4086</v>
      </c>
      <c r="AE40" s="19" t="n">
        <f aca="false">Volumen!AE16*pct_qr*costo_registro</f>
        <v>597.2802</v>
      </c>
      <c r="AF40" s="19" t="n">
        <f aca="false">Volumen!AF16*pct_qr*costo_registro</f>
        <v>628.716</v>
      </c>
      <c r="AG40" s="19" t="n">
        <f aca="false">Volumen!AG16*pct_qr*costo_registro</f>
        <v>597.2802</v>
      </c>
      <c r="AH40" s="19" t="n">
        <f aca="false">Volumen!AH16*pct_qr*costo_registro</f>
        <v>502.9728</v>
      </c>
      <c r="AI40" s="19" t="n">
        <f aca="false">Volumen!AI16*pct_qr*costo_registro</f>
        <v>502.9728</v>
      </c>
      <c r="AJ40" s="19" t="n">
        <f aca="false">Volumen!AJ16*pct_qr*costo_registro</f>
        <v>502.9728</v>
      </c>
      <c r="AK40" s="19" t="n">
        <f aca="false">Volumen!AK16*pct_qr*costo_registro</f>
        <v>534.4086</v>
      </c>
      <c r="AL40" s="19" t="n">
        <f aca="false">Volumen!AL16*pct_qr*costo_registro</f>
        <v>1005.9456</v>
      </c>
      <c r="AM40" s="77" t="n">
        <f aca="false">SUMIF($C$5:$AL$5,1,$C40:$AL40)</f>
        <v>4416.096</v>
      </c>
      <c r="AN40" s="77" t="n">
        <f aca="false">SUMIF($C$5:$AL$5,2,$C40:$AL40)</f>
        <v>7315.968</v>
      </c>
      <c r="AO40" s="77" t="n">
        <f aca="false">SUMIF($C$5:$AL$5,3,$C40:$AL40)</f>
        <v>8047.5648</v>
      </c>
    </row>
    <row r="41" customFormat="false" ht="15" hidden="false" customHeight="true" outlineLevel="0" collapsed="false">
      <c r="A41" s="5" t="s">
        <v>822</v>
      </c>
      <c r="C41" s="19" t="n">
        <f aca="false">Volumen!C12*(exhibidor+pop)</f>
        <v>18500</v>
      </c>
      <c r="D41" s="19" t="n">
        <f aca="false">Volumen!D12*(exhibidor+pop)</f>
        <v>0</v>
      </c>
      <c r="E41" s="19" t="n">
        <f aca="false">Volumen!E12*(exhibidor+pop)</f>
        <v>27750</v>
      </c>
      <c r="F41" s="19" t="n">
        <f aca="false">Volumen!F12*(exhibidor+pop)</f>
        <v>27750</v>
      </c>
      <c r="G41" s="19" t="n">
        <f aca="false">Volumen!G12*(exhibidor+pop)</f>
        <v>27750</v>
      </c>
      <c r="H41" s="19" t="n">
        <f aca="false">Volumen!H12*(exhibidor+pop)</f>
        <v>27750</v>
      </c>
      <c r="I41" s="19" t="n">
        <f aca="false">Volumen!I12*(exhibidor+pop)</f>
        <v>27750</v>
      </c>
      <c r="J41" s="19" t="n">
        <f aca="false">Volumen!J12*(exhibidor+pop)</f>
        <v>27750</v>
      </c>
      <c r="K41" s="19" t="n">
        <f aca="false">Volumen!K12*(exhibidor+pop)</f>
        <v>0</v>
      </c>
      <c r="L41" s="19" t="n">
        <f aca="false">Volumen!L12*(exhibidor+pop)</f>
        <v>0</v>
      </c>
      <c r="M41" s="19" t="n">
        <f aca="false">Volumen!M12*(exhibidor+pop)</f>
        <v>0</v>
      </c>
      <c r="N41" s="19" t="n">
        <f aca="false">Volumen!N12*(exhibidor+pop)</f>
        <v>0</v>
      </c>
      <c r="O41" s="19" t="n">
        <f aca="false">Volumen!O12*(exhibidor+pop)</f>
        <v>0</v>
      </c>
      <c r="P41" s="19" t="n">
        <f aca="false">Volumen!P12*(exhibidor+pop)</f>
        <v>0</v>
      </c>
      <c r="Q41" s="19" t="n">
        <f aca="false">Volumen!Q12*(exhibidor+pop)</f>
        <v>0</v>
      </c>
      <c r="R41" s="19" t="n">
        <f aca="false">Volumen!R12*(exhibidor+pop)</f>
        <v>0</v>
      </c>
      <c r="S41" s="19" t="n">
        <f aca="false">Volumen!S12*(exhibidor+pop)</f>
        <v>0</v>
      </c>
      <c r="T41" s="19" t="n">
        <f aca="false">Volumen!T12*(exhibidor+pop)</f>
        <v>0</v>
      </c>
      <c r="U41" s="19" t="n">
        <f aca="false">Volumen!U12*(exhibidor+pop)</f>
        <v>0</v>
      </c>
      <c r="V41" s="19" t="n">
        <f aca="false">Volumen!V12*(exhibidor+pop)</f>
        <v>0</v>
      </c>
      <c r="W41" s="19" t="n">
        <f aca="false">Volumen!W12*(exhibidor+pop)</f>
        <v>0</v>
      </c>
      <c r="X41" s="19" t="n">
        <f aca="false">Volumen!X12*(exhibidor+pop)</f>
        <v>0</v>
      </c>
      <c r="Y41" s="19" t="n">
        <f aca="false">Volumen!Y12*(exhibidor+pop)</f>
        <v>0</v>
      </c>
      <c r="Z41" s="19" t="n">
        <f aca="false">Volumen!Z12*(exhibidor+pop)</f>
        <v>0</v>
      </c>
      <c r="AA41" s="19" t="n">
        <f aca="false">Volumen!AA12*(exhibidor+pop)</f>
        <v>0</v>
      </c>
      <c r="AB41" s="19" t="n">
        <f aca="false">Volumen!AB12*(exhibidor+pop)</f>
        <v>0</v>
      </c>
      <c r="AC41" s="19" t="n">
        <f aca="false">Volumen!AC12*(exhibidor+pop)</f>
        <v>0</v>
      </c>
      <c r="AD41" s="19" t="n">
        <f aca="false">Volumen!AD12*(exhibidor+pop)</f>
        <v>0</v>
      </c>
      <c r="AE41" s="19" t="n">
        <f aca="false">Volumen!AE12*(exhibidor+pop)</f>
        <v>0</v>
      </c>
      <c r="AF41" s="19" t="n">
        <f aca="false">Volumen!AF12*(exhibidor+pop)</f>
        <v>0</v>
      </c>
      <c r="AG41" s="19" t="n">
        <f aca="false">Volumen!AG12*(exhibidor+pop)</f>
        <v>0</v>
      </c>
      <c r="AH41" s="19" t="n">
        <f aca="false">Volumen!AH12*(exhibidor+pop)</f>
        <v>0</v>
      </c>
      <c r="AI41" s="19" t="n">
        <f aca="false">Volumen!AI12*(exhibidor+pop)</f>
        <v>0</v>
      </c>
      <c r="AJ41" s="19" t="n">
        <f aca="false">Volumen!AJ12*(exhibidor+pop)</f>
        <v>0</v>
      </c>
      <c r="AK41" s="19" t="n">
        <f aca="false">Volumen!AK12*(exhibidor+pop)</f>
        <v>0</v>
      </c>
      <c r="AL41" s="19" t="n">
        <f aca="false">Volumen!AL12*(exhibidor+pop)</f>
        <v>0</v>
      </c>
      <c r="AM41" s="77" t="n">
        <f aca="false">SUMIF($C$5:$AL$5,1,$C41:$AL41)</f>
        <v>185000</v>
      </c>
      <c r="AN41" s="77" t="n">
        <f aca="false">SUMIF($C$5:$AL$5,2,$C41:$AL41)</f>
        <v>0</v>
      </c>
      <c r="AO41" s="77" t="n">
        <f aca="false">SUMIF($C$5:$AL$5,3,$C41:$AL41)</f>
        <v>0</v>
      </c>
    </row>
    <row r="42" customFormat="false" ht="15" hidden="false" customHeight="true" outlineLevel="0" collapsed="false">
      <c r="A42" s="5" t="s">
        <v>455</v>
      </c>
      <c r="C42" s="19" t="n">
        <f aca="false">C20*pct_marketing</f>
        <v>8708.26174794504</v>
      </c>
      <c r="D42" s="19" t="n">
        <f aca="false">D20*pct_marketing</f>
        <v>8924.31084558728</v>
      </c>
      <c r="E42" s="19" t="n">
        <f aca="false">E20*pct_marketing</f>
        <v>6621.89984479646</v>
      </c>
      <c r="F42" s="19" t="n">
        <f aca="false">F20*pct_marketing</f>
        <v>9838.30913224593</v>
      </c>
      <c r="G42" s="19" t="n">
        <f aca="false">G20*pct_marketing</f>
        <v>12956.38353361</v>
      </c>
      <c r="H42" s="19" t="n">
        <f aca="false">H20*pct_marketing</f>
        <v>16194.4588571707</v>
      </c>
      <c r="I42" s="19" t="n">
        <f aca="false">I20*pct_marketing</f>
        <v>18068.9048501054</v>
      </c>
      <c r="J42" s="19" t="n">
        <f aca="false">J20*pct_marketing</f>
        <v>18149.8206850287</v>
      </c>
      <c r="K42" s="19" t="n">
        <f aca="false">K20*pct_marketing</f>
        <v>16860.005247864</v>
      </c>
      <c r="L42" s="19" t="n">
        <f aca="false">L20*pct_marketing</f>
        <v>16884.9094624234</v>
      </c>
      <c r="M42" s="19" t="n">
        <f aca="false">M20*pct_marketing</f>
        <v>17690.8119981196</v>
      </c>
      <c r="N42" s="19" t="n">
        <f aca="false">N20*pct_marketing</f>
        <v>31730.0594434483</v>
      </c>
      <c r="O42" s="19" t="n">
        <f aca="false">O20*pct_marketing</f>
        <v>44325.5957179127</v>
      </c>
      <c r="P42" s="19" t="n">
        <f aca="false">P20*pct_marketing</f>
        <v>36937.4857346498</v>
      </c>
      <c r="Q42" s="19" t="n">
        <f aca="false">Q20*pct_marketing</f>
        <v>18082.4713356293</v>
      </c>
      <c r="R42" s="19" t="n">
        <f aca="false">R20*pct_marketing</f>
        <v>18936.7607604316</v>
      </c>
      <c r="S42" s="19" t="n">
        <f aca="false">S20*pct_marketing</f>
        <v>20645.3396100361</v>
      </c>
      <c r="T42" s="19" t="n">
        <f aca="false">T20*pct_marketing</f>
        <v>21499.6290348384</v>
      </c>
      <c r="U42" s="19" t="n">
        <f aca="false">U20*pct_marketing</f>
        <v>20645.3396100361</v>
      </c>
      <c r="V42" s="19" t="n">
        <f aca="false">V20*pct_marketing</f>
        <v>18082.4713356293</v>
      </c>
      <c r="W42" s="19" t="n">
        <f aca="false">W20*pct_marketing</f>
        <v>18082.4713356293</v>
      </c>
      <c r="X42" s="19" t="n">
        <f aca="false">X20*pct_marketing</f>
        <v>18082.4713356293</v>
      </c>
      <c r="Y42" s="19" t="n">
        <f aca="false">Y20*pct_marketing</f>
        <v>18936.7607604316</v>
      </c>
      <c r="Z42" s="19" t="n">
        <f aca="false">Z20*pct_marketing</f>
        <v>34276.7546097759</v>
      </c>
      <c r="AA42" s="19" t="n">
        <f aca="false">AA20*pct_marketing</f>
        <v>47652.2162789281</v>
      </c>
      <c r="AB42" s="19" t="n">
        <f aca="false">AB20*pct_marketing</f>
        <v>39563.7651249251</v>
      </c>
      <c r="AC42" s="19" t="n">
        <f aca="false">AC20*pct_marketing</f>
        <v>19372.3947601405</v>
      </c>
      <c r="AD42" s="19" t="n">
        <f aca="false">AD20*pct_marketing</f>
        <v>20307.3043989747</v>
      </c>
      <c r="AE42" s="19" t="n">
        <f aca="false">AE20*pct_marketing</f>
        <v>22177.1236766432</v>
      </c>
      <c r="AF42" s="19" t="n">
        <f aca="false">AF20*pct_marketing</f>
        <v>23112.0333154774</v>
      </c>
      <c r="AG42" s="19" t="n">
        <f aca="false">AG20*pct_marketing</f>
        <v>22177.1236766432</v>
      </c>
      <c r="AH42" s="19" t="n">
        <f aca="false">AH20*pct_marketing</f>
        <v>19372.3947601405</v>
      </c>
      <c r="AI42" s="19" t="n">
        <f aca="false">AI20*pct_marketing</f>
        <v>19372.3947601405</v>
      </c>
      <c r="AJ42" s="19" t="n">
        <f aca="false">AJ20*pct_marketing</f>
        <v>19372.3947601405</v>
      </c>
      <c r="AK42" s="19" t="n">
        <f aca="false">AK20*pct_marketing</f>
        <v>20307.3043989747</v>
      </c>
      <c r="AL42" s="19" t="n">
        <f aca="false">AL20*pct_marketing</f>
        <v>37078.1192927362</v>
      </c>
      <c r="AM42" s="77" t="n">
        <f aca="false">SUMIF($C$5:$AL$5,1,$C42:$AL42)</f>
        <v>182628.135648345</v>
      </c>
      <c r="AN42" s="77" t="n">
        <f aca="false">SUMIF($C$5:$AL$5,2,$C42:$AL42)</f>
        <v>288533.551180629</v>
      </c>
      <c r="AO42" s="77" t="n">
        <f aca="false">SUMIF($C$5:$AL$5,3,$C42:$AL42)</f>
        <v>309864.569203865</v>
      </c>
    </row>
    <row r="43" customFormat="false" ht="15" hidden="false" customHeight="true" outlineLevel="0" collapsed="false">
      <c r="A43" s="5" t="s">
        <v>458</v>
      </c>
      <c r="C43" s="19" t="n">
        <f aca="false">(C12+C13+C15+C16+C17)*comision_directa</f>
        <v>3863.79310344828</v>
      </c>
      <c r="D43" s="19" t="n">
        <f aca="false">(D12+D13+D15+D16+D17)*comision_directa</f>
        <v>3873.78756465517</v>
      </c>
      <c r="E43" s="19" t="n">
        <f aca="false">(E12+E13+E15+E16+E17)*comision_directa</f>
        <v>41.3353920361248</v>
      </c>
      <c r="F43" s="19" t="n">
        <f aca="false">(F12+F13+F15+F16+F17)*comision_directa</f>
        <v>773.376753899836</v>
      </c>
      <c r="G43" s="19" t="n">
        <f aca="false">(G12+G13+G15+G16+G17)*comision_directa</f>
        <v>887.15302955665</v>
      </c>
      <c r="H43" s="19" t="n">
        <f aca="false">(H12+H13+H15+H16+H17)*comision_directa</f>
        <v>1166.60818452381</v>
      </c>
      <c r="I43" s="19" t="n">
        <f aca="false">(I12+I13+I15+I16+I17)*comision_directa</f>
        <v>1156.73144293924</v>
      </c>
      <c r="J43" s="19" t="n">
        <f aca="false">(J12+J13+J15+J16+J17)*comision_directa</f>
        <v>1054.4248953202</v>
      </c>
      <c r="K43" s="19" t="n">
        <f aca="false">(K12+K13+K15+K16+K17)*comision_directa</f>
        <v>1075.77136494253</v>
      </c>
      <c r="L43" s="19" t="n">
        <f aca="false">(L12+L13+L15+L16+L17)*comision_directa</f>
        <v>1097.11783456486</v>
      </c>
      <c r="M43" s="19" t="n">
        <f aca="false">(M12+M13+M15+M16+M17)*comision_directa</f>
        <v>1159.68197660099</v>
      </c>
      <c r="N43" s="19" t="n">
        <f aca="false">(N12+N13+N15+N16+N17)*comision_directa</f>
        <v>1777.94706280788</v>
      </c>
      <c r="O43" s="19" t="n">
        <f aca="false">(O12+O13+O15+O16+O17)*comision_directa</f>
        <v>5889.04620073892</v>
      </c>
      <c r="P43" s="19" t="n">
        <f aca="false">(P12+P13+P15+P16+P17)*comision_directa</f>
        <v>5559.30482142857</v>
      </c>
      <c r="Q43" s="19" t="n">
        <f aca="false">(Q12+Q13+Q15+Q16+Q17)*comision_directa</f>
        <v>1118.46430418719</v>
      </c>
      <c r="R43" s="19" t="n">
        <f aca="false">(R12+R13+R15+R16+R17)*comision_directa</f>
        <v>1159.68197660099</v>
      </c>
      <c r="S43" s="19" t="n">
        <f aca="false">(S12+S13+S15+S16+S17)*comision_directa</f>
        <v>1242.11732142857</v>
      </c>
      <c r="T43" s="19" t="n">
        <f aca="false">(T12+T13+T15+T16+T17)*comision_directa</f>
        <v>1283.33499384236</v>
      </c>
      <c r="U43" s="19" t="n">
        <f aca="false">(U12+U13+U15+U16+U17)*comision_directa</f>
        <v>1242.11732142857</v>
      </c>
      <c r="V43" s="19" t="n">
        <f aca="false">(V12+V13+V15+V16+V17)*comision_directa</f>
        <v>1118.46430418719</v>
      </c>
      <c r="W43" s="19" t="n">
        <f aca="false">(W12+W13+W15+W16+W17)*comision_directa</f>
        <v>1118.46430418719</v>
      </c>
      <c r="X43" s="19" t="n">
        <f aca="false">(X12+X13+X15+X16+X17)*comision_directa</f>
        <v>1118.46430418719</v>
      </c>
      <c r="Y43" s="19" t="n">
        <f aca="false">(Y12+Y13+Y15+Y16+Y17)*comision_directa</f>
        <v>1159.68197660099</v>
      </c>
      <c r="Z43" s="19" t="n">
        <f aca="false">(Z12+Z13+Z15+Z16+Z17)*comision_directa</f>
        <v>1777.94706280788</v>
      </c>
      <c r="AA43" s="19" t="n">
        <f aca="false">(AA12+AA13+AA15+AA16+AA17)*comision_directa</f>
        <v>5889.04620073892</v>
      </c>
      <c r="AB43" s="19" t="n">
        <f aca="false">(AB12+AB13+AB15+AB16+AB17)*comision_directa</f>
        <v>5559.30482142857</v>
      </c>
      <c r="AC43" s="19" t="n">
        <f aca="false">(AC12+AC13+AC15+AC16+AC17)*comision_directa</f>
        <v>1118.46430418719</v>
      </c>
      <c r="AD43" s="19" t="n">
        <f aca="false">(AD12+AD13+AD15+AD16+AD17)*comision_directa</f>
        <v>1159.68197660099</v>
      </c>
      <c r="AE43" s="19" t="n">
        <f aca="false">(AE12+AE13+AE15+AE16+AE17)*comision_directa</f>
        <v>1242.11732142857</v>
      </c>
      <c r="AF43" s="19" t="n">
        <f aca="false">(AF12+AF13+AF15+AF16+AF17)*comision_directa</f>
        <v>1283.33499384236</v>
      </c>
      <c r="AG43" s="19" t="n">
        <f aca="false">(AG12+AG13+AG15+AG16+AG17)*comision_directa</f>
        <v>1242.11732142857</v>
      </c>
      <c r="AH43" s="19" t="n">
        <f aca="false">(AH12+AH13+AH15+AH16+AH17)*comision_directa</f>
        <v>1118.46430418719</v>
      </c>
      <c r="AI43" s="19" t="n">
        <f aca="false">(AI12+AI13+AI15+AI16+AI17)*comision_directa</f>
        <v>1118.46430418719</v>
      </c>
      <c r="AJ43" s="19" t="n">
        <f aca="false">(AJ12+AJ13+AJ15+AJ16+AJ17)*comision_directa</f>
        <v>1118.46430418719</v>
      </c>
      <c r="AK43" s="19" t="n">
        <f aca="false">(AK12+AK13+AK15+AK16+AK17)*comision_directa</f>
        <v>1159.68197660099</v>
      </c>
      <c r="AL43" s="19" t="n">
        <f aca="false">(AL12+AL13+AL15+AL16+AL17)*comision_directa</f>
        <v>1777.94706280788</v>
      </c>
      <c r="AM43" s="77" t="n">
        <f aca="false">SUMIF($C$5:$AL$5,1,$C43:$AL43)</f>
        <v>17927.7286052956</v>
      </c>
      <c r="AN43" s="77" t="n">
        <f aca="false">SUMIF($C$5:$AL$5,2,$C43:$AL43)</f>
        <v>23787.0888916256</v>
      </c>
      <c r="AO43" s="77" t="n">
        <f aca="false">SUMIF($C$5:$AL$5,3,$C43:$AL43)</f>
        <v>23787.0888916256</v>
      </c>
    </row>
    <row r="44" customFormat="false" ht="15" hidden="false" customHeight="true" outlineLevel="0" collapsed="false">
      <c r="A44" s="5" t="s">
        <v>823</v>
      </c>
      <c r="C44" s="19" t="n">
        <f aca="false">(C15+C16+C17+C19)*com_bancaria</f>
        <v>3219.8275862069</v>
      </c>
      <c r="D44" s="19" t="n">
        <f aca="false">(D15+D16+D17+D19)*com_bancaria</f>
        <v>3995.68965517241</v>
      </c>
      <c r="E44" s="19" t="n">
        <f aca="false">(E15+E16+E17+E19)*com_bancaria</f>
        <v>775.862068965517</v>
      </c>
      <c r="F44" s="19" t="n">
        <f aca="false">(F15+F16+F17+F19)*com_bancaria</f>
        <v>1359.77909482759</v>
      </c>
      <c r="G44" s="19" t="n">
        <f aca="false">(G15+G16+G17+G19)*com_bancaria</f>
        <v>1428.47521551724</v>
      </c>
      <c r="H44" s="19" t="n">
        <f aca="false">(H15+H16+H17+H19)*com_bancaria</f>
        <v>1635.23706896552</v>
      </c>
      <c r="I44" s="19" t="n">
        <f aca="false">(I15+I16+I17+I19)*com_bancaria</f>
        <v>1600.88900862069</v>
      </c>
      <c r="J44" s="19" t="n">
        <f aca="false">(J15+J16+J17+J19)*com_bancaria</f>
        <v>1497.84482758621</v>
      </c>
      <c r="K44" s="19" t="n">
        <f aca="false">(K15+K16+K17+K19)*com_bancaria</f>
        <v>1497.84482758621</v>
      </c>
      <c r="L44" s="19" t="n">
        <f aca="false">(L15+L16+L17+L19)*com_bancaria</f>
        <v>1497.84482758621</v>
      </c>
      <c r="M44" s="19" t="n">
        <f aca="false">(M15+M16+M17+M19)*com_bancaria</f>
        <v>1532.19288793103</v>
      </c>
      <c r="N44" s="19" t="n">
        <f aca="false">(N15+N16+N17+N19)*com_bancaria</f>
        <v>2047.41379310345</v>
      </c>
      <c r="O44" s="19" t="n">
        <f aca="false">(O15+O16+O17+O19)*com_bancaria</f>
        <v>5473.32974137931</v>
      </c>
      <c r="P44" s="19" t="n">
        <f aca="false">(P15+P16+P17+P19)*com_bancaria</f>
        <v>5198.54525862069</v>
      </c>
      <c r="Q44" s="19" t="n">
        <f aca="false">(Q15+Q16+Q17+Q19)*com_bancaria</f>
        <v>1497.84482758621</v>
      </c>
      <c r="R44" s="19" t="n">
        <f aca="false">(R15+R16+R17+R19)*com_bancaria</f>
        <v>1532.19288793103</v>
      </c>
      <c r="S44" s="19" t="n">
        <f aca="false">(S15+S16+S17+S19)*com_bancaria</f>
        <v>1600.88900862069</v>
      </c>
      <c r="T44" s="19" t="n">
        <f aca="false">(T15+T16+T17+T19)*com_bancaria</f>
        <v>1635.23706896552</v>
      </c>
      <c r="U44" s="19" t="n">
        <f aca="false">(U15+U16+U17+U19)*com_bancaria</f>
        <v>1600.88900862069</v>
      </c>
      <c r="V44" s="19" t="n">
        <f aca="false">(V15+V16+V17+V19)*com_bancaria</f>
        <v>1497.84482758621</v>
      </c>
      <c r="W44" s="19" t="n">
        <f aca="false">(W15+W16+W17+W19)*com_bancaria</f>
        <v>1497.84482758621</v>
      </c>
      <c r="X44" s="19" t="n">
        <f aca="false">(X15+X16+X17+X19)*com_bancaria</f>
        <v>1497.84482758621</v>
      </c>
      <c r="Y44" s="19" t="n">
        <f aca="false">(Y15+Y16+Y17+Y19)*com_bancaria</f>
        <v>1532.19288793103</v>
      </c>
      <c r="Z44" s="19" t="n">
        <f aca="false">(Z15+Z16+Z17+Z19)*com_bancaria</f>
        <v>2047.41379310345</v>
      </c>
      <c r="AA44" s="19" t="n">
        <f aca="false">(AA15+AA16+AA17+AA19)*com_bancaria</f>
        <v>5473.32974137931</v>
      </c>
      <c r="AB44" s="19" t="n">
        <f aca="false">(AB15+AB16+AB17+AB19)*com_bancaria</f>
        <v>5198.54525862069</v>
      </c>
      <c r="AC44" s="19" t="n">
        <f aca="false">(AC15+AC16+AC17+AC19)*com_bancaria</f>
        <v>1497.84482758621</v>
      </c>
      <c r="AD44" s="19" t="n">
        <f aca="false">(AD15+AD16+AD17+AD19)*com_bancaria</f>
        <v>1532.19288793103</v>
      </c>
      <c r="AE44" s="19" t="n">
        <f aca="false">(AE15+AE16+AE17+AE19)*com_bancaria</f>
        <v>1600.88900862069</v>
      </c>
      <c r="AF44" s="19" t="n">
        <f aca="false">(AF15+AF16+AF17+AF19)*com_bancaria</f>
        <v>1635.23706896552</v>
      </c>
      <c r="AG44" s="19" t="n">
        <f aca="false">(AG15+AG16+AG17+AG19)*com_bancaria</f>
        <v>1600.88900862069</v>
      </c>
      <c r="AH44" s="19" t="n">
        <f aca="false">(AH15+AH16+AH17+AH19)*com_bancaria</f>
        <v>1497.84482758621</v>
      </c>
      <c r="AI44" s="19" t="n">
        <f aca="false">(AI15+AI16+AI17+AI19)*com_bancaria</f>
        <v>1497.84482758621</v>
      </c>
      <c r="AJ44" s="19" t="n">
        <f aca="false">(AJ15+AJ16+AJ17+AJ19)*com_bancaria</f>
        <v>1497.84482758621</v>
      </c>
      <c r="AK44" s="19" t="n">
        <f aca="false">(AK15+AK16+AK17+AK19)*com_bancaria</f>
        <v>1532.19288793103</v>
      </c>
      <c r="AL44" s="19" t="n">
        <f aca="false">(AL15+AL16+AL17+AL19)*com_bancaria</f>
        <v>2047.41379310345</v>
      </c>
      <c r="AM44" s="77" t="n">
        <f aca="false">SUMIF($C$5:$AL$5,1,$C44:$AL44)</f>
        <v>22088.900862069</v>
      </c>
      <c r="AN44" s="77" t="n">
        <f aca="false">SUMIF($C$5:$AL$5,2,$C44:$AL44)</f>
        <v>26612.0689655172</v>
      </c>
      <c r="AO44" s="77" t="n">
        <f aca="false">SUMIF($C$5:$AL$5,3,$C44:$AL44)</f>
        <v>26612.0689655172</v>
      </c>
    </row>
    <row r="45" customFormat="false" ht="15" hidden="false" customHeight="true" outlineLevel="0" collapsed="false">
      <c r="A45" s="78" t="s">
        <v>824</v>
      </c>
      <c r="C45" s="79" t="n">
        <f aca="false">SUM(C36:C44)</f>
        <v>35548.2919034306</v>
      </c>
      <c r="D45" s="79" t="n">
        <f aca="false">SUM(D36:D44)</f>
        <v>22037.6446503469</v>
      </c>
      <c r="E45" s="79" t="n">
        <f aca="false">SUM(E36:E44)</f>
        <v>46113.7351947</v>
      </c>
      <c r="F45" s="79" t="n">
        <f aca="false">SUM(F36:F44)</f>
        <v>55836.0701320133</v>
      </c>
      <c r="G45" s="79" t="n">
        <f aca="false">SUM(G36:G44)</f>
        <v>64476.9108068459</v>
      </c>
      <c r="H45" s="79" t="n">
        <f aca="false">SUM(H36:H44)</f>
        <v>73523.8115318283</v>
      </c>
      <c r="I45" s="79" t="n">
        <f aca="false">SUM(I36:I44)</f>
        <v>80429.0443382192</v>
      </c>
      <c r="J45" s="79" t="n">
        <f aca="false">SUM(J36:J44)</f>
        <v>84972.8549252119</v>
      </c>
      <c r="K45" s="79" t="n">
        <f aca="false">SUM(K36:K44)</f>
        <v>59821.4885540879</v>
      </c>
      <c r="L45" s="79" t="n">
        <f aca="false">SUM(L36:L44)</f>
        <v>59867.7392382696</v>
      </c>
      <c r="M45" s="79" t="n">
        <f aca="false">SUM(M36:M44)</f>
        <v>60947.4088175045</v>
      </c>
      <c r="N45" s="79" t="n">
        <f aca="false">SUM(N36:N44)</f>
        <v>78970.4939869109</v>
      </c>
      <c r="O45" s="79" t="n">
        <f aca="false">SUM(O36:O44)</f>
        <v>100896.716082498</v>
      </c>
      <c r="P45" s="79" t="n">
        <f aca="false">SUM(P36:P44)</f>
        <v>91293.4371282622</v>
      </c>
      <c r="Q45" s="79" t="n">
        <f aca="false">SUM(Q36:Q44)</f>
        <v>61369.6153269502</v>
      </c>
      <c r="R45" s="79" t="n">
        <f aca="false">SUM(R36:R44)</f>
        <v>62494.0108097845</v>
      </c>
      <c r="S45" s="79" t="n">
        <f aca="false">SUM(S36:S44)</f>
        <v>64742.8017754532</v>
      </c>
      <c r="T45" s="79" t="n">
        <f aca="false">SUM(T36:T44)</f>
        <v>65867.1972582875</v>
      </c>
      <c r="U45" s="79" t="n">
        <f aca="false">SUM(U36:U44)</f>
        <v>64742.8017754532</v>
      </c>
      <c r="V45" s="79" t="n">
        <f aca="false">SUM(V36:V44)</f>
        <v>61369.6153269502</v>
      </c>
      <c r="W45" s="79" t="n">
        <f aca="false">SUM(W36:W44)</f>
        <v>61369.6153269502</v>
      </c>
      <c r="X45" s="79" t="n">
        <f aca="false">SUM(X36:X44)</f>
        <v>61369.6153269502</v>
      </c>
      <c r="Y45" s="79" t="n">
        <f aca="false">SUM(Y36:Y44)</f>
        <v>62494.0108097845</v>
      </c>
      <c r="Z45" s="79" t="n">
        <f aca="false">SUM(Z36:Z44)</f>
        <v>82102.8775564764</v>
      </c>
      <c r="AA45" s="79" t="n">
        <f aca="false">SUM(AA36:AA44)</f>
        <v>104988.392120243</v>
      </c>
      <c r="AB45" s="79" t="n">
        <f aca="false">SUM(AB36:AB44)</f>
        <v>94523.7076843766</v>
      </c>
      <c r="AC45" s="79" t="n">
        <f aca="false">SUM(AC36:AC44)</f>
        <v>62970.8032718989</v>
      </c>
      <c r="AD45" s="79" t="n">
        <f aca="false">SUM(AD36:AD44)</f>
        <v>64195.2730012925</v>
      </c>
      <c r="AE45" s="79" t="n">
        <f aca="false">SUM(AE36:AE44)</f>
        <v>66644.2124600798</v>
      </c>
      <c r="AF45" s="79" t="n">
        <f aca="false">SUM(AF36:AF44)</f>
        <v>67868.6821894734</v>
      </c>
      <c r="AG45" s="79" t="n">
        <f aca="false">SUM(AG36:AG44)</f>
        <v>66644.2124600798</v>
      </c>
      <c r="AH45" s="79" t="n">
        <f aca="false">SUM(AH36:AH44)</f>
        <v>62970.8032718989</v>
      </c>
      <c r="AI45" s="79" t="n">
        <f aca="false">SUM(AI36:AI44)</f>
        <v>62970.8032718989</v>
      </c>
      <c r="AJ45" s="79" t="n">
        <f aca="false">SUM(AJ36:AJ44)</f>
        <v>62970.8032718989</v>
      </c>
      <c r="AK45" s="79" t="n">
        <f aca="false">SUM(AK36:AK44)</f>
        <v>64195.2730012925</v>
      </c>
      <c r="AL45" s="79" t="n">
        <f aca="false">SUM(AL36:AL44)</f>
        <v>85548.4994829984</v>
      </c>
      <c r="AM45" s="79" t="n">
        <f aca="false">SUMIF($C$5:$AL$5,1,$C45:$AL45)</f>
        <v>722545.494079369</v>
      </c>
      <c r="AN45" s="79" t="n">
        <f aca="false">SUMIF($C$5:$AL$5,2,$C45:$AL45)</f>
        <v>840112.314503801</v>
      </c>
      <c r="AO45" s="79" t="n">
        <f aca="false">SUMIF($C$5:$AL$5,3,$C45:$AL45)</f>
        <v>866491.465487432</v>
      </c>
    </row>
    <row r="46" customFormat="false" ht="15" hidden="false" customHeight="true" outlineLevel="0" collapsed="false">
      <c r="A46" s="21" t="s">
        <v>825</v>
      </c>
      <c r="C46" s="23" t="n">
        <f aca="false">C32-C45</f>
        <v>101339.195521237</v>
      </c>
      <c r="D46" s="23" t="n">
        <f aca="false">D32-D45</f>
        <v>129185.065031757</v>
      </c>
      <c r="E46" s="23" t="n">
        <f aca="false">E32-E45</f>
        <v>24618.9434627263</v>
      </c>
      <c r="F46" s="23" t="n">
        <f aca="false">F32-F45</f>
        <v>51249.294901887</v>
      </c>
      <c r="G46" s="23" t="n">
        <f aca="false">G32-G45</f>
        <v>72327.2109312574</v>
      </c>
      <c r="H46" s="23" t="n">
        <f aca="false">H32-H45</f>
        <v>95536.4130991022</v>
      </c>
      <c r="I46" s="23" t="n">
        <f aca="false">I32-I45</f>
        <v>107248.922929725</v>
      </c>
      <c r="J46" s="23" t="n">
        <f aca="false">J32-J45</f>
        <v>106116.295932737</v>
      </c>
      <c r="K46" s="23" t="n">
        <f aca="false">K32-K45</f>
        <v>124902.283848962</v>
      </c>
      <c r="L46" s="23" t="n">
        <f aca="false">L32-L45</f>
        <v>125262.706092538</v>
      </c>
      <c r="M46" s="23" t="n">
        <f aca="false">M32-M45</f>
        <v>131216.463072062</v>
      </c>
      <c r="N46" s="23" t="n">
        <f aca="false">N32-N45</f>
        <v>253200.004679705</v>
      </c>
      <c r="O46" s="23" t="n">
        <f aca="false">O32-O45</f>
        <v>404610.263009363</v>
      </c>
      <c r="P46" s="23" t="n">
        <f aca="false">P32-P45</f>
        <v>346126.596189363</v>
      </c>
      <c r="Q46" s="23" t="n">
        <f aca="false">Q32-Q45</f>
        <v>133532.032879147</v>
      </c>
      <c r="R46" s="23" t="n">
        <f aca="false">R32-R45</f>
        <v>139619.674149033</v>
      </c>
      <c r="S46" s="23" t="n">
        <f aca="false">S32-S45</f>
        <v>151794.956688806</v>
      </c>
      <c r="T46" s="23" t="n">
        <f aca="false">T32-T45</f>
        <v>157882.597958692</v>
      </c>
      <c r="U46" s="23" t="n">
        <f aca="false">U32-U45</f>
        <v>151794.956688806</v>
      </c>
      <c r="V46" s="23" t="n">
        <f aca="false">V32-V45</f>
        <v>133532.032879147</v>
      </c>
      <c r="W46" s="23" t="n">
        <f aca="false">W32-W45</f>
        <v>133532.032879147</v>
      </c>
      <c r="X46" s="23" t="n">
        <f aca="false">X32-X45</f>
        <v>133532.032879147</v>
      </c>
      <c r="Y46" s="23" t="n">
        <f aca="false">Y32-Y45</f>
        <v>139619.674149033</v>
      </c>
      <c r="Z46" s="23" t="n">
        <f aca="false">Z32-Z45</f>
        <v>272575.099824282</v>
      </c>
      <c r="AA46" s="23" t="n">
        <f aca="false">AA32-AA45</f>
        <v>429918.981041966</v>
      </c>
      <c r="AB46" s="23" t="n">
        <f aca="false">AB32-AB45</f>
        <v>366107.163057208</v>
      </c>
      <c r="AC46" s="23" t="n">
        <f aca="false">AC32-AC45</f>
        <v>142231.827876482</v>
      </c>
      <c r="AD46" s="23" t="n">
        <f aca="false">AD32-AD45</f>
        <v>148863.206333702</v>
      </c>
      <c r="AE46" s="23" t="n">
        <f aca="false">AE32-AE45</f>
        <v>162125.963248141</v>
      </c>
      <c r="AF46" s="23" t="n">
        <f aca="false">AF32-AF45</f>
        <v>168757.341705361</v>
      </c>
      <c r="AG46" s="23" t="n">
        <f aca="false">AG32-AG45</f>
        <v>162125.963248141</v>
      </c>
      <c r="AH46" s="23" t="n">
        <f aca="false">AH32-AH45</f>
        <v>142231.827876482</v>
      </c>
      <c r="AI46" s="23" t="n">
        <f aca="false">AI32-AI45</f>
        <v>142231.827876482</v>
      </c>
      <c r="AJ46" s="23" t="n">
        <f aca="false">AJ32-AJ45</f>
        <v>142231.827876482</v>
      </c>
      <c r="AK46" s="23" t="n">
        <f aca="false">AK32-AK45</f>
        <v>148863.206333702</v>
      </c>
      <c r="AL46" s="23" t="n">
        <f aca="false">AL32-AL45</f>
        <v>293887.704483316</v>
      </c>
      <c r="AM46" s="79" t="n">
        <f aca="false">SUMIF($C$5:$AL$5,1,$C46:$AL46)</f>
        <v>1322202.7995037</v>
      </c>
      <c r="AN46" s="79" t="n">
        <f aca="false">SUMIF($C$5:$AL$5,2,$C46:$AL46)</f>
        <v>2298151.95017396</v>
      </c>
      <c r="AO46" s="79" t="n">
        <f aca="false">SUMIF($C$5:$AL$5,3,$C46:$AL46)</f>
        <v>2449576.84095746</v>
      </c>
    </row>
    <row r="47" customFormat="false" ht="15" hidden="false" customHeight="true" outlineLevel="0" collapsed="false">
      <c r="A47" s="5" t="s">
        <v>826</v>
      </c>
      <c r="C47" s="20" t="n">
        <f aca="false">IFERROR(C46/C20,0)</f>
        <v>0.407299636357424</v>
      </c>
      <c r="D47" s="20" t="n">
        <f aca="false">IFERROR(D46/D20,0)</f>
        <v>0.506647219527006</v>
      </c>
      <c r="E47" s="20" t="n">
        <f aca="false">IFERROR(E46/E20,0)</f>
        <v>0.130123233723102</v>
      </c>
      <c r="F47" s="20" t="n">
        <f aca="false">IFERROR(F46/F20,0)</f>
        <v>0.182320487947156</v>
      </c>
      <c r="G47" s="20" t="n">
        <f aca="false">IFERROR(G46/G20,0)</f>
        <v>0.195382637140001</v>
      </c>
      <c r="H47" s="20" t="n">
        <f aca="false">IFERROR(H46/H20,0)</f>
        <v>0.206476455185039</v>
      </c>
      <c r="I47" s="20" t="n">
        <f aca="false">IFERROR(I46/I20,0)</f>
        <v>0.207744317305345</v>
      </c>
      <c r="J47" s="20" t="n">
        <f aca="false">IFERROR(J46/J20,0)</f>
        <v>0.204633997332516</v>
      </c>
      <c r="K47" s="20" t="n">
        <f aca="false">IFERROR(K46/K20,0)</f>
        <v>0.259286985409895</v>
      </c>
      <c r="L47" s="20" t="n">
        <f aca="false">IFERROR(L46/L20,0)</f>
        <v>0.259651656586947</v>
      </c>
      <c r="M47" s="20" t="n">
        <f aca="false">IFERROR(M46/M20,0)</f>
        <v>0.259602340921961</v>
      </c>
      <c r="N47" s="20" t="n">
        <f aca="false">IFERROR(N46/N20,0)</f>
        <v>0.27929352542135</v>
      </c>
      <c r="O47" s="20" t="n">
        <f aca="false">IFERROR(O46/O20,0)</f>
        <v>0.319484915565497</v>
      </c>
      <c r="P47" s="20" t="n">
        <f aca="false">IFERROR(P46/P20,0)</f>
        <v>0.327971182274152</v>
      </c>
      <c r="Q47" s="20" t="n">
        <f aca="false">IFERROR(Q46/Q20,0)</f>
        <v>0.258461416253504</v>
      </c>
      <c r="R47" s="20" t="n">
        <f aca="false">IFERROR(R46/R20,0)</f>
        <v>0.258053035418122</v>
      </c>
      <c r="S47" s="20" t="n">
        <f aca="false">IFERROR(S46/S20,0)</f>
        <v>0.257337664793149</v>
      </c>
      <c r="T47" s="20" t="n">
        <f aca="false">IFERROR(T46/T20,0)</f>
        <v>0.257022617441444</v>
      </c>
      <c r="U47" s="20" t="n">
        <f aca="false">IFERROR(U46/U20,0)</f>
        <v>0.257337664793149</v>
      </c>
      <c r="V47" s="20" t="n">
        <f aca="false">IFERROR(V46/V20,0)</f>
        <v>0.258461416253504</v>
      </c>
      <c r="W47" s="20" t="n">
        <f aca="false">IFERROR(W46/W20,0)</f>
        <v>0.258461416253504</v>
      </c>
      <c r="X47" s="20" t="n">
        <f aca="false">IFERROR(X46/X20,0)</f>
        <v>0.258461416253504</v>
      </c>
      <c r="Y47" s="20" t="n">
        <f aca="false">IFERROR(Y46/Y20,0)</f>
        <v>0.258053035418122</v>
      </c>
      <c r="Z47" s="20" t="n">
        <f aca="false">IFERROR(Z46/Z20,0)</f>
        <v>0.278326481093662</v>
      </c>
      <c r="AA47" s="20" t="n">
        <f aca="false">IFERROR(AA46/AA20,0)</f>
        <v>0.315770503692662</v>
      </c>
      <c r="AB47" s="20" t="n">
        <f aca="false">IFERROR(AB46/AB20,0)</f>
        <v>0.32387591692909</v>
      </c>
      <c r="AC47" s="20" t="n">
        <f aca="false">IFERROR(AC46/AC20,0)</f>
        <v>0.256969468014329</v>
      </c>
      <c r="AD47" s="20" t="n">
        <f aca="false">IFERROR(AD46/AD20,0)</f>
        <v>0.256568381470788</v>
      </c>
      <c r="AE47" s="20" t="n">
        <f aca="false">IFERROR(AE46/AE20,0)</f>
        <v>0.255867658783055</v>
      </c>
      <c r="AF47" s="20" t="n">
        <f aca="false">IFERROR(AF46/AF20,0)</f>
        <v>0.255559815056697</v>
      </c>
      <c r="AG47" s="20" t="n">
        <f aca="false">IFERROR(AG46/AG20,0)</f>
        <v>0.255867658783055</v>
      </c>
      <c r="AH47" s="20" t="n">
        <f aca="false">IFERROR(AH46/AH20,0)</f>
        <v>0.256969468014329</v>
      </c>
      <c r="AI47" s="20" t="n">
        <f aca="false">IFERROR(AI46/AI20,0)</f>
        <v>0.256969468014329</v>
      </c>
      <c r="AJ47" s="20" t="n">
        <f aca="false">IFERROR(AJ46/AJ20,0)</f>
        <v>0.256969468014329</v>
      </c>
      <c r="AK47" s="20" t="n">
        <f aca="false">IFERROR(AK46/AK20,0)</f>
        <v>0.256568381470788</v>
      </c>
      <c r="AL47" s="20" t="n">
        <f aca="false">IFERROR(AL46/AL20,0)</f>
        <v>0.277416164927522</v>
      </c>
      <c r="AM47" s="80" t="n">
        <f aca="false">IFERROR(AM46/AM20,0)</f>
        <v>0.253395227511587</v>
      </c>
      <c r="AN47" s="80" t="n">
        <f aca="false">IFERROR(AN46/AN20,0)</f>
        <v>0.278772842627699</v>
      </c>
      <c r="AO47" s="80" t="n">
        <f aca="false">IFERROR(AO46/AO20,0)</f>
        <v>0.276686003997781</v>
      </c>
    </row>
    <row r="49" customFormat="false" ht="15" hidden="false" customHeight="true" outlineLevel="0" collapsed="false">
      <c r="A49" s="28" t="s">
        <v>827</v>
      </c>
      <c r="B49" s="29"/>
    </row>
    <row r="50" customFormat="false" ht="15" hidden="false" customHeight="true" outlineLevel="0" collapsed="false">
      <c r="A50" s="5" t="s">
        <v>828</v>
      </c>
      <c r="C50" s="19" t="n">
        <f aca="false">(sueldo_dir+sueldo_com)*carga_social</f>
        <v>60750</v>
      </c>
      <c r="D50" s="19" t="n">
        <f aca="false">(sueldo_dir+sueldo_com)*carga_social</f>
        <v>60750</v>
      </c>
      <c r="E50" s="19" t="n">
        <f aca="false">(sueldo_dir+sueldo_com)*carga_social</f>
        <v>60750</v>
      </c>
      <c r="F50" s="19" t="n">
        <f aca="false">(sueldo_dir+sueldo_com)*carga_social</f>
        <v>60750</v>
      </c>
      <c r="G50" s="19" t="n">
        <f aca="false">(sueldo_dir+sueldo_com)*carga_social</f>
        <v>60750</v>
      </c>
      <c r="H50" s="19" t="n">
        <f aca="false">(sueldo_dir+sueldo_com)*carga_social</f>
        <v>60750</v>
      </c>
      <c r="I50" s="19" t="n">
        <f aca="false">(sueldo_dir+sueldo_com)*carga_social</f>
        <v>60750</v>
      </c>
      <c r="J50" s="19" t="n">
        <f aca="false">(sueldo_dir+sueldo_com)*carga_social</f>
        <v>60750</v>
      </c>
      <c r="K50" s="19" t="n">
        <f aca="false">(sueldo_dir+sueldo_com)*carga_social</f>
        <v>60750</v>
      </c>
      <c r="L50" s="19" t="n">
        <f aca="false">(sueldo_dir+sueldo_com)*carga_social</f>
        <v>60750</v>
      </c>
      <c r="M50" s="19" t="n">
        <f aca="false">(sueldo_dir+sueldo_com)*carga_social</f>
        <v>60750</v>
      </c>
      <c r="N50" s="19" t="n">
        <f aca="false">(sueldo_dir+sueldo_com)*carga_social</f>
        <v>60750</v>
      </c>
      <c r="O50" s="19" t="n">
        <f aca="false">(sueldo_dir+sueldo_com)*carga_social</f>
        <v>60750</v>
      </c>
      <c r="P50" s="19" t="n">
        <f aca="false">(sueldo_dir+sueldo_com)*carga_social</f>
        <v>60750</v>
      </c>
      <c r="Q50" s="19" t="n">
        <f aca="false">(sueldo_dir+sueldo_com)*carga_social</f>
        <v>60750</v>
      </c>
      <c r="R50" s="19" t="n">
        <f aca="false">(sueldo_dir+sueldo_com)*carga_social</f>
        <v>60750</v>
      </c>
      <c r="S50" s="19" t="n">
        <f aca="false">(sueldo_dir+sueldo_com)*carga_social</f>
        <v>60750</v>
      </c>
      <c r="T50" s="19" t="n">
        <f aca="false">(sueldo_dir+sueldo_com)*carga_social</f>
        <v>60750</v>
      </c>
      <c r="U50" s="19" t="n">
        <f aca="false">(sueldo_dir+sueldo_com)*carga_social</f>
        <v>60750</v>
      </c>
      <c r="V50" s="19" t="n">
        <f aca="false">(sueldo_dir+sueldo_com)*carga_social</f>
        <v>60750</v>
      </c>
      <c r="W50" s="19" t="n">
        <f aca="false">(sueldo_dir+sueldo_com)*carga_social</f>
        <v>60750</v>
      </c>
      <c r="X50" s="19" t="n">
        <f aca="false">(sueldo_dir+sueldo_com)*carga_social</f>
        <v>60750</v>
      </c>
      <c r="Y50" s="19" t="n">
        <f aca="false">(sueldo_dir+sueldo_com)*carga_social</f>
        <v>60750</v>
      </c>
      <c r="Z50" s="19" t="n">
        <f aca="false">(sueldo_dir+sueldo_com)*carga_social</f>
        <v>60750</v>
      </c>
      <c r="AA50" s="19" t="n">
        <f aca="false">(sueldo_dir+sueldo_com)*carga_social</f>
        <v>60750</v>
      </c>
      <c r="AB50" s="19" t="n">
        <f aca="false">(sueldo_dir+sueldo_com)*carga_social</f>
        <v>60750</v>
      </c>
      <c r="AC50" s="19" t="n">
        <f aca="false">(sueldo_dir+sueldo_com)*carga_social</f>
        <v>60750</v>
      </c>
      <c r="AD50" s="19" t="n">
        <f aca="false">(sueldo_dir+sueldo_com)*carga_social</f>
        <v>60750</v>
      </c>
      <c r="AE50" s="19" t="n">
        <f aca="false">(sueldo_dir+sueldo_com)*carga_social</f>
        <v>60750</v>
      </c>
      <c r="AF50" s="19" t="n">
        <f aca="false">(sueldo_dir+sueldo_com)*carga_social</f>
        <v>60750</v>
      </c>
      <c r="AG50" s="19" t="n">
        <f aca="false">(sueldo_dir+sueldo_com)*carga_social</f>
        <v>60750</v>
      </c>
      <c r="AH50" s="19" t="n">
        <f aca="false">(sueldo_dir+sueldo_com)*carga_social</f>
        <v>60750</v>
      </c>
      <c r="AI50" s="19" t="n">
        <f aca="false">(sueldo_dir+sueldo_com)*carga_social</f>
        <v>60750</v>
      </c>
      <c r="AJ50" s="19" t="n">
        <f aca="false">(sueldo_dir+sueldo_com)*carga_social</f>
        <v>60750</v>
      </c>
      <c r="AK50" s="19" t="n">
        <f aca="false">(sueldo_dir+sueldo_com)*carga_social</f>
        <v>60750</v>
      </c>
      <c r="AL50" s="19" t="n">
        <f aca="false">(sueldo_dir+sueldo_com)*carga_social</f>
        <v>60750</v>
      </c>
      <c r="AM50" s="77" t="n">
        <f aca="false">SUMIF($C$5:$AL$5,1,$C50:$AL50)</f>
        <v>729000</v>
      </c>
      <c r="AN50" s="77" t="n">
        <f aca="false">SUMIF($C$5:$AL$5,2,$C50:$AL50)</f>
        <v>729000</v>
      </c>
      <c r="AO50" s="77" t="n">
        <f aca="false">SUMIF($C$5:$AL$5,3,$C50:$AL50)</f>
        <v>729000</v>
      </c>
    </row>
    <row r="51" customFormat="false" ht="15" hidden="false" customHeight="true" outlineLevel="0" collapsed="false">
      <c r="A51" s="5" t="s">
        <v>468</v>
      </c>
      <c r="C51" s="19" t="n">
        <f aca="false">sueldo_dis*carga_social</f>
        <v>16200</v>
      </c>
      <c r="D51" s="19" t="n">
        <f aca="false">sueldo_dis*carga_social</f>
        <v>16200</v>
      </c>
      <c r="E51" s="19" t="n">
        <f aca="false">sueldo_dis*carga_social</f>
        <v>16200</v>
      </c>
      <c r="F51" s="19" t="n">
        <f aca="false">sueldo_dis*carga_social</f>
        <v>16200</v>
      </c>
      <c r="G51" s="19" t="n">
        <f aca="false">sueldo_dis*carga_social</f>
        <v>16200</v>
      </c>
      <c r="H51" s="19" t="n">
        <f aca="false">sueldo_dis*carga_social</f>
        <v>16200</v>
      </c>
      <c r="I51" s="19" t="n">
        <f aca="false">sueldo_dis*carga_social</f>
        <v>16200</v>
      </c>
      <c r="J51" s="19" t="n">
        <f aca="false">sueldo_dis*carga_social</f>
        <v>16200</v>
      </c>
      <c r="K51" s="19" t="n">
        <f aca="false">sueldo_dis*carga_social</f>
        <v>16200</v>
      </c>
      <c r="L51" s="19" t="n">
        <f aca="false">sueldo_dis*carga_social</f>
        <v>16200</v>
      </c>
      <c r="M51" s="19" t="n">
        <f aca="false">sueldo_dis*carga_social</f>
        <v>16200</v>
      </c>
      <c r="N51" s="19" t="n">
        <f aca="false">sueldo_dis*carga_social</f>
        <v>16200</v>
      </c>
      <c r="O51" s="19" t="n">
        <f aca="false">sueldo_dis*carga_social</f>
        <v>16200</v>
      </c>
      <c r="P51" s="19" t="n">
        <f aca="false">sueldo_dis*carga_social</f>
        <v>16200</v>
      </c>
      <c r="Q51" s="19" t="n">
        <f aca="false">sueldo_dis*carga_social</f>
        <v>16200</v>
      </c>
      <c r="R51" s="19" t="n">
        <f aca="false">sueldo_dis*carga_social</f>
        <v>16200</v>
      </c>
      <c r="S51" s="19" t="n">
        <f aca="false">sueldo_dis*carga_social</f>
        <v>16200</v>
      </c>
      <c r="T51" s="19" t="n">
        <f aca="false">sueldo_dis*carga_social</f>
        <v>16200</v>
      </c>
      <c r="U51" s="19" t="n">
        <f aca="false">sueldo_dis*carga_social</f>
        <v>16200</v>
      </c>
      <c r="V51" s="19" t="n">
        <f aca="false">sueldo_dis*carga_social</f>
        <v>16200</v>
      </c>
      <c r="W51" s="19" t="n">
        <f aca="false">sueldo_dis*carga_social</f>
        <v>16200</v>
      </c>
      <c r="X51" s="19" t="n">
        <f aca="false">sueldo_dis*carga_social</f>
        <v>16200</v>
      </c>
      <c r="Y51" s="19" t="n">
        <f aca="false">sueldo_dis*carga_social</f>
        <v>16200</v>
      </c>
      <c r="Z51" s="19" t="n">
        <f aca="false">sueldo_dis*carga_social</f>
        <v>16200</v>
      </c>
      <c r="AA51" s="19" t="n">
        <f aca="false">sueldo_dis*carga_social</f>
        <v>16200</v>
      </c>
      <c r="AB51" s="19" t="n">
        <f aca="false">sueldo_dis*carga_social</f>
        <v>16200</v>
      </c>
      <c r="AC51" s="19" t="n">
        <f aca="false">sueldo_dis*carga_social</f>
        <v>16200</v>
      </c>
      <c r="AD51" s="19" t="n">
        <f aca="false">sueldo_dis*carga_social</f>
        <v>16200</v>
      </c>
      <c r="AE51" s="19" t="n">
        <f aca="false">sueldo_dis*carga_social</f>
        <v>16200</v>
      </c>
      <c r="AF51" s="19" t="n">
        <f aca="false">sueldo_dis*carga_social</f>
        <v>16200</v>
      </c>
      <c r="AG51" s="19" t="n">
        <f aca="false">sueldo_dis*carga_social</f>
        <v>16200</v>
      </c>
      <c r="AH51" s="19" t="n">
        <f aca="false">sueldo_dis*carga_social</f>
        <v>16200</v>
      </c>
      <c r="AI51" s="19" t="n">
        <f aca="false">sueldo_dis*carga_social</f>
        <v>16200</v>
      </c>
      <c r="AJ51" s="19" t="n">
        <f aca="false">sueldo_dis*carga_social</f>
        <v>16200</v>
      </c>
      <c r="AK51" s="19" t="n">
        <f aca="false">sueldo_dis*carga_social</f>
        <v>16200</v>
      </c>
      <c r="AL51" s="19" t="n">
        <f aca="false">sueldo_dis*carga_social</f>
        <v>16200</v>
      </c>
      <c r="AM51" s="77" t="n">
        <f aca="false">SUMIF($C$5:$AL$5,1,$C51:$AL51)</f>
        <v>194400</v>
      </c>
      <c r="AN51" s="77" t="n">
        <f aca="false">SUMIF($C$5:$AL$5,2,$C51:$AL51)</f>
        <v>194400</v>
      </c>
      <c r="AO51" s="77" t="n">
        <f aca="false">SUMIF($C$5:$AL$5,3,$C51:$AL51)</f>
        <v>194400</v>
      </c>
    </row>
    <row r="52" customFormat="false" ht="15" hidden="false" customHeight="true" outlineLevel="0" collapsed="false">
      <c r="A52" s="5" t="s">
        <v>470</v>
      </c>
      <c r="C52" s="19" t="n">
        <f aca="false">IF(C$3&gt;=mes_atencion,sueldo_aten*carga_social,0)</f>
        <v>0</v>
      </c>
      <c r="D52" s="19" t="n">
        <f aca="false">IF(D$3&gt;=mes_atencion,sueldo_aten*carga_social,0)</f>
        <v>0</v>
      </c>
      <c r="E52" s="19" t="n">
        <f aca="false">IF(E$3&gt;=mes_atencion,sueldo_aten*carga_social,0)</f>
        <v>13500</v>
      </c>
      <c r="F52" s="19" t="n">
        <f aca="false">IF(F$3&gt;=mes_atencion,sueldo_aten*carga_social,0)</f>
        <v>13500</v>
      </c>
      <c r="G52" s="19" t="n">
        <f aca="false">IF(G$3&gt;=mes_atencion,sueldo_aten*carga_social,0)</f>
        <v>13500</v>
      </c>
      <c r="H52" s="19" t="n">
        <f aca="false">IF(H$3&gt;=mes_atencion,sueldo_aten*carga_social,0)</f>
        <v>13500</v>
      </c>
      <c r="I52" s="19" t="n">
        <f aca="false">IF(I$3&gt;=mes_atencion,sueldo_aten*carga_social,0)</f>
        <v>13500</v>
      </c>
      <c r="J52" s="19" t="n">
        <f aca="false">IF(J$3&gt;=mes_atencion,sueldo_aten*carga_social,0)</f>
        <v>13500</v>
      </c>
      <c r="K52" s="19" t="n">
        <f aca="false">IF(K$3&gt;=mes_atencion,sueldo_aten*carga_social,0)</f>
        <v>13500</v>
      </c>
      <c r="L52" s="19" t="n">
        <f aca="false">IF(L$3&gt;=mes_atencion,sueldo_aten*carga_social,0)</f>
        <v>13500</v>
      </c>
      <c r="M52" s="19" t="n">
        <f aca="false">IF(M$3&gt;=mes_atencion,sueldo_aten*carga_social,0)</f>
        <v>13500</v>
      </c>
      <c r="N52" s="19" t="n">
        <f aca="false">IF(N$3&gt;=mes_atencion,sueldo_aten*carga_social,0)</f>
        <v>13500</v>
      </c>
      <c r="O52" s="19" t="n">
        <f aca="false">IF(O$3&gt;=mes_atencion,sueldo_aten*carga_social,0)</f>
        <v>13500</v>
      </c>
      <c r="P52" s="19" t="n">
        <f aca="false">IF(P$3&gt;=mes_atencion,sueldo_aten*carga_social,0)</f>
        <v>13500</v>
      </c>
      <c r="Q52" s="19" t="n">
        <f aca="false">IF(Q$3&gt;=mes_atencion,sueldo_aten*carga_social,0)</f>
        <v>13500</v>
      </c>
      <c r="R52" s="19" t="n">
        <f aca="false">IF(R$3&gt;=mes_atencion,sueldo_aten*carga_social,0)</f>
        <v>13500</v>
      </c>
      <c r="S52" s="19" t="n">
        <f aca="false">IF(S$3&gt;=mes_atencion,sueldo_aten*carga_social,0)</f>
        <v>13500</v>
      </c>
      <c r="T52" s="19" t="n">
        <f aca="false">IF(T$3&gt;=mes_atencion,sueldo_aten*carga_social,0)</f>
        <v>13500</v>
      </c>
      <c r="U52" s="19" t="n">
        <f aca="false">IF(U$3&gt;=mes_atencion,sueldo_aten*carga_social,0)</f>
        <v>13500</v>
      </c>
      <c r="V52" s="19" t="n">
        <f aca="false">IF(V$3&gt;=mes_atencion,sueldo_aten*carga_social,0)</f>
        <v>13500</v>
      </c>
      <c r="W52" s="19" t="n">
        <f aca="false">IF(W$3&gt;=mes_atencion,sueldo_aten*carga_social,0)</f>
        <v>13500</v>
      </c>
      <c r="X52" s="19" t="n">
        <f aca="false">IF(X$3&gt;=mes_atencion,sueldo_aten*carga_social,0)</f>
        <v>13500</v>
      </c>
      <c r="Y52" s="19" t="n">
        <f aca="false">IF(Y$3&gt;=mes_atencion,sueldo_aten*carga_social,0)</f>
        <v>13500</v>
      </c>
      <c r="Z52" s="19" t="n">
        <f aca="false">IF(Z$3&gt;=mes_atencion,sueldo_aten*carga_social,0)</f>
        <v>13500</v>
      </c>
      <c r="AA52" s="19" t="n">
        <f aca="false">IF(AA$3&gt;=mes_atencion,sueldo_aten*carga_social,0)</f>
        <v>13500</v>
      </c>
      <c r="AB52" s="19" t="n">
        <f aca="false">IF(AB$3&gt;=mes_atencion,sueldo_aten*carga_social,0)</f>
        <v>13500</v>
      </c>
      <c r="AC52" s="19" t="n">
        <f aca="false">IF(AC$3&gt;=mes_atencion,sueldo_aten*carga_social,0)</f>
        <v>13500</v>
      </c>
      <c r="AD52" s="19" t="n">
        <f aca="false">IF(AD$3&gt;=mes_atencion,sueldo_aten*carga_social,0)</f>
        <v>13500</v>
      </c>
      <c r="AE52" s="19" t="n">
        <f aca="false">IF(AE$3&gt;=mes_atencion,sueldo_aten*carga_social,0)</f>
        <v>13500</v>
      </c>
      <c r="AF52" s="19" t="n">
        <f aca="false">IF(AF$3&gt;=mes_atencion,sueldo_aten*carga_social,0)</f>
        <v>13500</v>
      </c>
      <c r="AG52" s="19" t="n">
        <f aca="false">IF(AG$3&gt;=mes_atencion,sueldo_aten*carga_social,0)</f>
        <v>13500</v>
      </c>
      <c r="AH52" s="19" t="n">
        <f aca="false">IF(AH$3&gt;=mes_atencion,sueldo_aten*carga_social,0)</f>
        <v>13500</v>
      </c>
      <c r="AI52" s="19" t="n">
        <f aca="false">IF(AI$3&gt;=mes_atencion,sueldo_aten*carga_social,0)</f>
        <v>13500</v>
      </c>
      <c r="AJ52" s="19" t="n">
        <f aca="false">IF(AJ$3&gt;=mes_atencion,sueldo_aten*carga_social,0)</f>
        <v>13500</v>
      </c>
      <c r="AK52" s="19" t="n">
        <f aca="false">IF(AK$3&gt;=mes_atencion,sueldo_aten*carga_social,0)</f>
        <v>13500</v>
      </c>
      <c r="AL52" s="19" t="n">
        <f aca="false">IF(AL$3&gt;=mes_atencion,sueldo_aten*carga_social,0)</f>
        <v>13500</v>
      </c>
      <c r="AM52" s="77" t="n">
        <f aca="false">SUMIF($C$5:$AL$5,1,$C52:$AL52)</f>
        <v>135000</v>
      </c>
      <c r="AN52" s="77" t="n">
        <f aca="false">SUMIF($C$5:$AL$5,2,$C52:$AL52)</f>
        <v>162000</v>
      </c>
      <c r="AO52" s="77" t="n">
        <f aca="false">SUMIF($C$5:$AL$5,3,$C52:$AL52)</f>
        <v>162000</v>
      </c>
    </row>
    <row r="53" customFormat="false" ht="15" hidden="false" customHeight="true" outlineLevel="0" collapsed="false">
      <c r="A53" s="5" t="s">
        <v>829</v>
      </c>
      <c r="C53" s="19" t="n">
        <f aca="false">IF(C$3&gt;=mes_planta,sueldo_sup*carga_social,0)</f>
        <v>0</v>
      </c>
      <c r="D53" s="19" t="n">
        <f aca="false">IF(D$3&gt;=mes_planta,sueldo_sup*carga_social,0)</f>
        <v>0</v>
      </c>
      <c r="E53" s="19" t="n">
        <f aca="false">IF(E$3&gt;=mes_planta,sueldo_sup*carga_social,0)</f>
        <v>0</v>
      </c>
      <c r="F53" s="19" t="n">
        <f aca="false">IF(F$3&gt;=mes_planta,sueldo_sup*carga_social,0)</f>
        <v>0</v>
      </c>
      <c r="G53" s="19" t="n">
        <f aca="false">IF(G$3&gt;=mes_planta,sueldo_sup*carga_social,0)</f>
        <v>0</v>
      </c>
      <c r="H53" s="19" t="n">
        <f aca="false">IF(H$3&gt;=mes_planta,sueldo_sup*carga_social,0)</f>
        <v>0</v>
      </c>
      <c r="I53" s="19" t="n">
        <f aca="false">IF(I$3&gt;=mes_planta,sueldo_sup*carga_social,0)</f>
        <v>0</v>
      </c>
      <c r="J53" s="19" t="n">
        <f aca="false">IF(J$3&gt;=mes_planta,sueldo_sup*carga_social,0)</f>
        <v>0</v>
      </c>
      <c r="K53" s="19" t="n">
        <f aca="false">IF(K$3&gt;=mes_planta,sueldo_sup*carga_social,0)</f>
        <v>0</v>
      </c>
      <c r="L53" s="19" t="n">
        <f aca="false">IF(L$3&gt;=mes_planta,sueldo_sup*carga_social,0)</f>
        <v>0</v>
      </c>
      <c r="M53" s="19" t="n">
        <f aca="false">IF(M$3&gt;=mes_planta,sueldo_sup*carga_social,0)</f>
        <v>0</v>
      </c>
      <c r="N53" s="19" t="n">
        <f aca="false">IF(N$3&gt;=mes_planta,sueldo_sup*carga_social,0)</f>
        <v>0</v>
      </c>
      <c r="O53" s="19" t="n">
        <f aca="false">IF(O$3&gt;=mes_planta,sueldo_sup*carga_social,0)</f>
        <v>0</v>
      </c>
      <c r="P53" s="19" t="n">
        <f aca="false">IF(P$3&gt;=mes_planta,sueldo_sup*carga_social,0)</f>
        <v>0</v>
      </c>
      <c r="Q53" s="19" t="n">
        <f aca="false">IF(Q$3&gt;=mes_planta,sueldo_sup*carga_social,0)</f>
        <v>0</v>
      </c>
      <c r="R53" s="19" t="n">
        <f aca="false">IF(R$3&gt;=mes_planta,sueldo_sup*carga_social,0)</f>
        <v>0</v>
      </c>
      <c r="S53" s="19" t="n">
        <f aca="false">IF(S$3&gt;=mes_planta,sueldo_sup*carga_social,0)</f>
        <v>0</v>
      </c>
      <c r="T53" s="19" t="n">
        <f aca="false">IF(T$3&gt;=mes_planta,sueldo_sup*carga_social,0)</f>
        <v>0</v>
      </c>
      <c r="U53" s="19" t="n">
        <f aca="false">IF(U$3&gt;=mes_planta,sueldo_sup*carga_social,0)</f>
        <v>0</v>
      </c>
      <c r="V53" s="19" t="n">
        <f aca="false">IF(V$3&gt;=mes_planta,sueldo_sup*carga_social,0)</f>
        <v>0</v>
      </c>
      <c r="W53" s="19" t="n">
        <f aca="false">IF(W$3&gt;=mes_planta,sueldo_sup*carga_social,0)</f>
        <v>0</v>
      </c>
      <c r="X53" s="19" t="n">
        <f aca="false">IF(X$3&gt;=mes_planta,sueldo_sup*carga_social,0)</f>
        <v>0</v>
      </c>
      <c r="Y53" s="19" t="n">
        <f aca="false">IF(Y$3&gt;=mes_planta,sueldo_sup*carga_social,0)</f>
        <v>0</v>
      </c>
      <c r="Z53" s="19" t="n">
        <f aca="false">IF(Z$3&gt;=mes_planta,sueldo_sup*carga_social,0)</f>
        <v>0</v>
      </c>
      <c r="AA53" s="19" t="n">
        <f aca="false">IF(AA$3&gt;=mes_planta,sueldo_sup*carga_social,0)</f>
        <v>0</v>
      </c>
      <c r="AB53" s="19" t="n">
        <f aca="false">IF(AB$3&gt;=mes_planta,sueldo_sup*carga_social,0)</f>
        <v>0</v>
      </c>
      <c r="AC53" s="19" t="n">
        <f aca="false">IF(AC$3&gt;=mes_planta,sueldo_sup*carga_social,0)</f>
        <v>0</v>
      </c>
      <c r="AD53" s="19" t="n">
        <f aca="false">IF(AD$3&gt;=mes_planta,sueldo_sup*carga_social,0)</f>
        <v>0</v>
      </c>
      <c r="AE53" s="19" t="n">
        <f aca="false">IF(AE$3&gt;=mes_planta,sueldo_sup*carga_social,0)</f>
        <v>0</v>
      </c>
      <c r="AF53" s="19" t="n">
        <f aca="false">IF(AF$3&gt;=mes_planta,sueldo_sup*carga_social,0)</f>
        <v>0</v>
      </c>
      <c r="AG53" s="19" t="n">
        <f aca="false">IF(AG$3&gt;=mes_planta,sueldo_sup*carga_social,0)</f>
        <v>0</v>
      </c>
      <c r="AH53" s="19" t="n">
        <f aca="false">IF(AH$3&gt;=mes_planta,sueldo_sup*carga_social,0)</f>
        <v>0</v>
      </c>
      <c r="AI53" s="19" t="n">
        <f aca="false">IF(AI$3&gt;=mes_planta,sueldo_sup*carga_social,0)</f>
        <v>0</v>
      </c>
      <c r="AJ53" s="19" t="n">
        <f aca="false">IF(AJ$3&gt;=mes_planta,sueldo_sup*carga_social,0)</f>
        <v>0</v>
      </c>
      <c r="AK53" s="19" t="n">
        <f aca="false">IF(AK$3&gt;=mes_planta,sueldo_sup*carga_social,0)</f>
        <v>0</v>
      </c>
      <c r="AL53" s="19" t="n">
        <f aca="false">IF(AL$3&gt;=mes_planta,sueldo_sup*carga_social,0)</f>
        <v>0</v>
      </c>
      <c r="AM53" s="77" t="n">
        <f aca="false">SUMIF($C$5:$AL$5,1,$C53:$AL53)</f>
        <v>0</v>
      </c>
      <c r="AN53" s="77" t="n">
        <f aca="false">SUMIF($C$5:$AL$5,2,$C53:$AL53)</f>
        <v>0</v>
      </c>
      <c r="AO53" s="77" t="n">
        <f aca="false">SUMIF($C$5:$AL$5,3,$C53:$AL53)</f>
        <v>0</v>
      </c>
    </row>
    <row r="54" customFormat="false" ht="15" hidden="false" customHeight="true" outlineLevel="0" collapsed="false">
      <c r="A54" s="5" t="s">
        <v>830</v>
      </c>
      <c r="C54" s="19" t="n">
        <f aca="false">IF(C$3&gt;=mes_planta,renta,0)</f>
        <v>0</v>
      </c>
      <c r="D54" s="19" t="n">
        <f aca="false">IF(D$3&gt;=mes_planta,renta,0)</f>
        <v>0</v>
      </c>
      <c r="E54" s="19" t="n">
        <f aca="false">IF(E$3&gt;=mes_planta,renta,0)</f>
        <v>0</v>
      </c>
      <c r="F54" s="19" t="n">
        <f aca="false">IF(F$3&gt;=mes_planta,renta,0)</f>
        <v>0</v>
      </c>
      <c r="G54" s="19" t="n">
        <f aca="false">IF(G$3&gt;=mes_planta,renta,0)</f>
        <v>0</v>
      </c>
      <c r="H54" s="19" t="n">
        <f aca="false">IF(H$3&gt;=mes_planta,renta,0)</f>
        <v>0</v>
      </c>
      <c r="I54" s="19" t="n">
        <f aca="false">IF(I$3&gt;=mes_planta,renta,0)</f>
        <v>0</v>
      </c>
      <c r="J54" s="19" t="n">
        <f aca="false">IF(J$3&gt;=mes_planta,renta,0)</f>
        <v>0</v>
      </c>
      <c r="K54" s="19" t="n">
        <f aca="false">IF(K$3&gt;=mes_planta,renta,0)</f>
        <v>0</v>
      </c>
      <c r="L54" s="19" t="n">
        <f aca="false">IF(L$3&gt;=mes_planta,renta,0)</f>
        <v>0</v>
      </c>
      <c r="M54" s="19" t="n">
        <f aca="false">IF(M$3&gt;=mes_planta,renta,0)</f>
        <v>0</v>
      </c>
      <c r="N54" s="19" t="n">
        <f aca="false">IF(N$3&gt;=mes_planta,renta,0)</f>
        <v>0</v>
      </c>
      <c r="O54" s="19" t="n">
        <f aca="false">IF(O$3&gt;=mes_planta,renta,0)</f>
        <v>0</v>
      </c>
      <c r="P54" s="19" t="n">
        <f aca="false">IF(P$3&gt;=mes_planta,renta,0)</f>
        <v>0</v>
      </c>
      <c r="Q54" s="19" t="n">
        <f aca="false">IF(Q$3&gt;=mes_planta,renta,0)</f>
        <v>0</v>
      </c>
      <c r="R54" s="19" t="n">
        <f aca="false">IF(R$3&gt;=mes_planta,renta,0)</f>
        <v>0</v>
      </c>
      <c r="S54" s="19" t="n">
        <f aca="false">IF(S$3&gt;=mes_planta,renta,0)</f>
        <v>0</v>
      </c>
      <c r="T54" s="19" t="n">
        <f aca="false">IF(T$3&gt;=mes_planta,renta,0)</f>
        <v>0</v>
      </c>
      <c r="U54" s="19" t="n">
        <f aca="false">IF(U$3&gt;=mes_planta,renta,0)</f>
        <v>0</v>
      </c>
      <c r="V54" s="19" t="n">
        <f aca="false">IF(V$3&gt;=mes_planta,renta,0)</f>
        <v>0</v>
      </c>
      <c r="W54" s="19" t="n">
        <f aca="false">IF(W$3&gt;=mes_planta,renta,0)</f>
        <v>0</v>
      </c>
      <c r="X54" s="19" t="n">
        <f aca="false">IF(X$3&gt;=mes_planta,renta,0)</f>
        <v>0</v>
      </c>
      <c r="Y54" s="19" t="n">
        <f aca="false">IF(Y$3&gt;=mes_planta,renta,0)</f>
        <v>0</v>
      </c>
      <c r="Z54" s="19" t="n">
        <f aca="false">IF(Z$3&gt;=mes_planta,renta,0)</f>
        <v>0</v>
      </c>
      <c r="AA54" s="19" t="n">
        <f aca="false">IF(AA$3&gt;=mes_planta,renta,0)</f>
        <v>0</v>
      </c>
      <c r="AB54" s="19" t="n">
        <f aca="false">IF(AB$3&gt;=mes_planta,renta,0)</f>
        <v>0</v>
      </c>
      <c r="AC54" s="19" t="n">
        <f aca="false">IF(AC$3&gt;=mes_planta,renta,0)</f>
        <v>0</v>
      </c>
      <c r="AD54" s="19" t="n">
        <f aca="false">IF(AD$3&gt;=mes_planta,renta,0)</f>
        <v>0</v>
      </c>
      <c r="AE54" s="19" t="n">
        <f aca="false">IF(AE$3&gt;=mes_planta,renta,0)</f>
        <v>0</v>
      </c>
      <c r="AF54" s="19" t="n">
        <f aca="false">IF(AF$3&gt;=mes_planta,renta,0)</f>
        <v>0</v>
      </c>
      <c r="AG54" s="19" t="n">
        <f aca="false">IF(AG$3&gt;=mes_planta,renta,0)</f>
        <v>0</v>
      </c>
      <c r="AH54" s="19" t="n">
        <f aca="false">IF(AH$3&gt;=mes_planta,renta,0)</f>
        <v>0</v>
      </c>
      <c r="AI54" s="19" t="n">
        <f aca="false">IF(AI$3&gt;=mes_planta,renta,0)</f>
        <v>0</v>
      </c>
      <c r="AJ54" s="19" t="n">
        <f aca="false">IF(AJ$3&gt;=mes_planta,renta,0)</f>
        <v>0</v>
      </c>
      <c r="AK54" s="19" t="n">
        <f aca="false">IF(AK$3&gt;=mes_planta,renta,0)</f>
        <v>0</v>
      </c>
      <c r="AL54" s="19" t="n">
        <f aca="false">IF(AL$3&gt;=mes_planta,renta,0)</f>
        <v>0</v>
      </c>
      <c r="AM54" s="77" t="n">
        <f aca="false">SUMIF($C$5:$AL$5,1,$C54:$AL54)</f>
        <v>0</v>
      </c>
      <c r="AN54" s="77" t="n">
        <f aca="false">SUMIF($C$5:$AL$5,2,$C54:$AL54)</f>
        <v>0</v>
      </c>
      <c r="AO54" s="77" t="n">
        <f aca="false">SUMIF($C$5:$AL$5,3,$C54:$AL54)</f>
        <v>0</v>
      </c>
    </row>
    <row r="55" customFormat="false" ht="15" hidden="false" customHeight="true" outlineLevel="0" collapsed="false">
      <c r="A55" s="5" t="s">
        <v>831</v>
      </c>
      <c r="C55" s="19" t="n">
        <f aca="false">contador</f>
        <v>5000</v>
      </c>
      <c r="D55" s="19" t="n">
        <f aca="false">contador</f>
        <v>5000</v>
      </c>
      <c r="E55" s="19" t="n">
        <f aca="false">contador</f>
        <v>5000</v>
      </c>
      <c r="F55" s="19" t="n">
        <f aca="false">contador</f>
        <v>5000</v>
      </c>
      <c r="G55" s="19" t="n">
        <f aca="false">contador</f>
        <v>5000</v>
      </c>
      <c r="H55" s="19" t="n">
        <f aca="false">contador</f>
        <v>5000</v>
      </c>
      <c r="I55" s="19" t="n">
        <f aca="false">contador</f>
        <v>5000</v>
      </c>
      <c r="J55" s="19" t="n">
        <f aca="false">contador</f>
        <v>5000</v>
      </c>
      <c r="K55" s="19" t="n">
        <f aca="false">contador</f>
        <v>5000</v>
      </c>
      <c r="L55" s="19" t="n">
        <f aca="false">contador</f>
        <v>5000</v>
      </c>
      <c r="M55" s="19" t="n">
        <f aca="false">contador</f>
        <v>5000</v>
      </c>
      <c r="N55" s="19" t="n">
        <f aca="false">contador</f>
        <v>5000</v>
      </c>
      <c r="O55" s="19" t="n">
        <f aca="false">contador</f>
        <v>5000</v>
      </c>
      <c r="P55" s="19" t="n">
        <f aca="false">contador</f>
        <v>5000</v>
      </c>
      <c r="Q55" s="19" t="n">
        <f aca="false">contador</f>
        <v>5000</v>
      </c>
      <c r="R55" s="19" t="n">
        <f aca="false">contador</f>
        <v>5000</v>
      </c>
      <c r="S55" s="19" t="n">
        <f aca="false">contador</f>
        <v>5000</v>
      </c>
      <c r="T55" s="19" t="n">
        <f aca="false">contador</f>
        <v>5000</v>
      </c>
      <c r="U55" s="19" t="n">
        <f aca="false">contador</f>
        <v>5000</v>
      </c>
      <c r="V55" s="19" t="n">
        <f aca="false">contador</f>
        <v>5000</v>
      </c>
      <c r="W55" s="19" t="n">
        <f aca="false">contador</f>
        <v>5000</v>
      </c>
      <c r="X55" s="19" t="n">
        <f aca="false">contador</f>
        <v>5000</v>
      </c>
      <c r="Y55" s="19" t="n">
        <f aca="false">contador</f>
        <v>5000</v>
      </c>
      <c r="Z55" s="19" t="n">
        <f aca="false">contador</f>
        <v>5000</v>
      </c>
      <c r="AA55" s="19" t="n">
        <f aca="false">contador</f>
        <v>5000</v>
      </c>
      <c r="AB55" s="19" t="n">
        <f aca="false">contador</f>
        <v>5000</v>
      </c>
      <c r="AC55" s="19" t="n">
        <f aca="false">contador</f>
        <v>5000</v>
      </c>
      <c r="AD55" s="19" t="n">
        <f aca="false">contador</f>
        <v>5000</v>
      </c>
      <c r="AE55" s="19" t="n">
        <f aca="false">contador</f>
        <v>5000</v>
      </c>
      <c r="AF55" s="19" t="n">
        <f aca="false">contador</f>
        <v>5000</v>
      </c>
      <c r="AG55" s="19" t="n">
        <f aca="false">contador</f>
        <v>5000</v>
      </c>
      <c r="AH55" s="19" t="n">
        <f aca="false">contador</f>
        <v>5000</v>
      </c>
      <c r="AI55" s="19" t="n">
        <f aca="false">contador</f>
        <v>5000</v>
      </c>
      <c r="AJ55" s="19" t="n">
        <f aca="false">contador</f>
        <v>5000</v>
      </c>
      <c r="AK55" s="19" t="n">
        <f aca="false">contador</f>
        <v>5000</v>
      </c>
      <c r="AL55" s="19" t="n">
        <f aca="false">contador</f>
        <v>5000</v>
      </c>
      <c r="AM55" s="77" t="n">
        <f aca="false">SUMIF($C$5:$AL$5,1,$C55:$AL55)</f>
        <v>60000</v>
      </c>
      <c r="AN55" s="77" t="n">
        <f aca="false">SUMIF($C$5:$AL$5,2,$C55:$AL55)</f>
        <v>60000</v>
      </c>
      <c r="AO55" s="77" t="n">
        <f aca="false">SUMIF($C$5:$AL$5,3,$C55:$AL55)</f>
        <v>60000</v>
      </c>
    </row>
    <row r="56" customFormat="false" ht="15" hidden="false" customHeight="true" outlineLevel="0" collapsed="false">
      <c r="A56" s="5" t="s">
        <v>832</v>
      </c>
      <c r="C56" s="19" t="n">
        <f aca="false">servicios</f>
        <v>4000</v>
      </c>
      <c r="D56" s="19" t="n">
        <f aca="false">servicios</f>
        <v>4000</v>
      </c>
      <c r="E56" s="19" t="n">
        <f aca="false">servicios</f>
        <v>4000</v>
      </c>
      <c r="F56" s="19" t="n">
        <f aca="false">servicios</f>
        <v>4000</v>
      </c>
      <c r="G56" s="19" t="n">
        <f aca="false">servicios</f>
        <v>4000</v>
      </c>
      <c r="H56" s="19" t="n">
        <f aca="false">servicios</f>
        <v>4000</v>
      </c>
      <c r="I56" s="19" t="n">
        <f aca="false">servicios</f>
        <v>4000</v>
      </c>
      <c r="J56" s="19" t="n">
        <f aca="false">servicios</f>
        <v>4000</v>
      </c>
      <c r="K56" s="19" t="n">
        <f aca="false">servicios</f>
        <v>4000</v>
      </c>
      <c r="L56" s="19" t="n">
        <f aca="false">servicios</f>
        <v>4000</v>
      </c>
      <c r="M56" s="19" t="n">
        <f aca="false">servicios</f>
        <v>4000</v>
      </c>
      <c r="N56" s="19" t="n">
        <f aca="false">servicios</f>
        <v>4000</v>
      </c>
      <c r="O56" s="19" t="n">
        <f aca="false">servicios</f>
        <v>4000</v>
      </c>
      <c r="P56" s="19" t="n">
        <f aca="false">servicios</f>
        <v>4000</v>
      </c>
      <c r="Q56" s="19" t="n">
        <f aca="false">servicios</f>
        <v>4000</v>
      </c>
      <c r="R56" s="19" t="n">
        <f aca="false">servicios</f>
        <v>4000</v>
      </c>
      <c r="S56" s="19" t="n">
        <f aca="false">servicios</f>
        <v>4000</v>
      </c>
      <c r="T56" s="19" t="n">
        <f aca="false">servicios</f>
        <v>4000</v>
      </c>
      <c r="U56" s="19" t="n">
        <f aca="false">servicios</f>
        <v>4000</v>
      </c>
      <c r="V56" s="19" t="n">
        <f aca="false">servicios</f>
        <v>4000</v>
      </c>
      <c r="W56" s="19" t="n">
        <f aca="false">servicios</f>
        <v>4000</v>
      </c>
      <c r="X56" s="19" t="n">
        <f aca="false">servicios</f>
        <v>4000</v>
      </c>
      <c r="Y56" s="19" t="n">
        <f aca="false">servicios</f>
        <v>4000</v>
      </c>
      <c r="Z56" s="19" t="n">
        <f aca="false">servicios</f>
        <v>4000</v>
      </c>
      <c r="AA56" s="19" t="n">
        <f aca="false">servicios</f>
        <v>4000</v>
      </c>
      <c r="AB56" s="19" t="n">
        <f aca="false">servicios</f>
        <v>4000</v>
      </c>
      <c r="AC56" s="19" t="n">
        <f aca="false">servicios</f>
        <v>4000</v>
      </c>
      <c r="AD56" s="19" t="n">
        <f aca="false">servicios</f>
        <v>4000</v>
      </c>
      <c r="AE56" s="19" t="n">
        <f aca="false">servicios</f>
        <v>4000</v>
      </c>
      <c r="AF56" s="19" t="n">
        <f aca="false">servicios</f>
        <v>4000</v>
      </c>
      <c r="AG56" s="19" t="n">
        <f aca="false">servicios</f>
        <v>4000</v>
      </c>
      <c r="AH56" s="19" t="n">
        <f aca="false">servicios</f>
        <v>4000</v>
      </c>
      <c r="AI56" s="19" t="n">
        <f aca="false">servicios</f>
        <v>4000</v>
      </c>
      <c r="AJ56" s="19" t="n">
        <f aca="false">servicios</f>
        <v>4000</v>
      </c>
      <c r="AK56" s="19" t="n">
        <f aca="false">servicios</f>
        <v>4000</v>
      </c>
      <c r="AL56" s="19" t="n">
        <f aca="false">servicios</f>
        <v>4000</v>
      </c>
      <c r="AM56" s="77" t="n">
        <f aca="false">SUMIF($C$5:$AL$5,1,$C56:$AL56)</f>
        <v>48000</v>
      </c>
      <c r="AN56" s="77" t="n">
        <f aca="false">SUMIF($C$5:$AL$5,2,$C56:$AL56)</f>
        <v>48000</v>
      </c>
      <c r="AO56" s="77" t="n">
        <f aca="false">SUMIF($C$5:$AL$5,3,$C56:$AL56)</f>
        <v>48000</v>
      </c>
    </row>
    <row r="57" customFormat="false" ht="15" hidden="false" customHeight="true" outlineLevel="0" collapsed="false">
      <c r="A57" s="5" t="s">
        <v>833</v>
      </c>
      <c r="C57" s="19" t="n">
        <f aca="false">software</f>
        <v>3000</v>
      </c>
      <c r="D57" s="19" t="n">
        <f aca="false">software</f>
        <v>3000</v>
      </c>
      <c r="E57" s="19" t="n">
        <f aca="false">software</f>
        <v>3000</v>
      </c>
      <c r="F57" s="19" t="n">
        <f aca="false">software</f>
        <v>3000</v>
      </c>
      <c r="G57" s="19" t="n">
        <f aca="false">software</f>
        <v>3000</v>
      </c>
      <c r="H57" s="19" t="n">
        <f aca="false">software</f>
        <v>3000</v>
      </c>
      <c r="I57" s="19" t="n">
        <f aca="false">software</f>
        <v>3000</v>
      </c>
      <c r="J57" s="19" t="n">
        <f aca="false">software</f>
        <v>3000</v>
      </c>
      <c r="K57" s="19" t="n">
        <f aca="false">software</f>
        <v>3000</v>
      </c>
      <c r="L57" s="19" t="n">
        <f aca="false">software</f>
        <v>3000</v>
      </c>
      <c r="M57" s="19" t="n">
        <f aca="false">software</f>
        <v>3000</v>
      </c>
      <c r="N57" s="19" t="n">
        <f aca="false">software</f>
        <v>3000</v>
      </c>
      <c r="O57" s="19" t="n">
        <f aca="false">software</f>
        <v>3000</v>
      </c>
      <c r="P57" s="19" t="n">
        <f aca="false">software</f>
        <v>3000</v>
      </c>
      <c r="Q57" s="19" t="n">
        <f aca="false">software</f>
        <v>3000</v>
      </c>
      <c r="R57" s="19" t="n">
        <f aca="false">software</f>
        <v>3000</v>
      </c>
      <c r="S57" s="19" t="n">
        <f aca="false">software</f>
        <v>3000</v>
      </c>
      <c r="T57" s="19" t="n">
        <f aca="false">software</f>
        <v>3000</v>
      </c>
      <c r="U57" s="19" t="n">
        <f aca="false">software</f>
        <v>3000</v>
      </c>
      <c r="V57" s="19" t="n">
        <f aca="false">software</f>
        <v>3000</v>
      </c>
      <c r="W57" s="19" t="n">
        <f aca="false">software</f>
        <v>3000</v>
      </c>
      <c r="X57" s="19" t="n">
        <f aca="false">software</f>
        <v>3000</v>
      </c>
      <c r="Y57" s="19" t="n">
        <f aca="false">software</f>
        <v>3000</v>
      </c>
      <c r="Z57" s="19" t="n">
        <f aca="false">software</f>
        <v>3000</v>
      </c>
      <c r="AA57" s="19" t="n">
        <f aca="false">software</f>
        <v>3000</v>
      </c>
      <c r="AB57" s="19" t="n">
        <f aca="false">software</f>
        <v>3000</v>
      </c>
      <c r="AC57" s="19" t="n">
        <f aca="false">software</f>
        <v>3000</v>
      </c>
      <c r="AD57" s="19" t="n">
        <f aca="false">software</f>
        <v>3000</v>
      </c>
      <c r="AE57" s="19" t="n">
        <f aca="false">software</f>
        <v>3000</v>
      </c>
      <c r="AF57" s="19" t="n">
        <f aca="false">software</f>
        <v>3000</v>
      </c>
      <c r="AG57" s="19" t="n">
        <f aca="false">software</f>
        <v>3000</v>
      </c>
      <c r="AH57" s="19" t="n">
        <f aca="false">software</f>
        <v>3000</v>
      </c>
      <c r="AI57" s="19" t="n">
        <f aca="false">software</f>
        <v>3000</v>
      </c>
      <c r="AJ57" s="19" t="n">
        <f aca="false">software</f>
        <v>3000</v>
      </c>
      <c r="AK57" s="19" t="n">
        <f aca="false">software</f>
        <v>3000</v>
      </c>
      <c r="AL57" s="19" t="n">
        <f aca="false">software</f>
        <v>3000</v>
      </c>
      <c r="AM57" s="77" t="n">
        <f aca="false">SUMIF($C$5:$AL$5,1,$C57:$AL57)</f>
        <v>36000</v>
      </c>
      <c r="AN57" s="77" t="n">
        <f aca="false">SUMIF($C$5:$AL$5,2,$C57:$AL57)</f>
        <v>36000</v>
      </c>
      <c r="AO57" s="77" t="n">
        <f aca="false">SUMIF($C$5:$AL$5,3,$C57:$AL57)</f>
        <v>36000</v>
      </c>
    </row>
    <row r="58" customFormat="false" ht="15" hidden="false" customHeight="true" outlineLevel="0" collapsed="false">
      <c r="A58" s="5" t="s">
        <v>482</v>
      </c>
      <c r="C58" s="19" t="n">
        <f aca="false">seguros</f>
        <v>1800</v>
      </c>
      <c r="D58" s="19" t="n">
        <f aca="false">seguros</f>
        <v>1800</v>
      </c>
      <c r="E58" s="19" t="n">
        <f aca="false">seguros</f>
        <v>1800</v>
      </c>
      <c r="F58" s="19" t="n">
        <f aca="false">seguros</f>
        <v>1800</v>
      </c>
      <c r="G58" s="19" t="n">
        <f aca="false">seguros</f>
        <v>1800</v>
      </c>
      <c r="H58" s="19" t="n">
        <f aca="false">seguros</f>
        <v>1800</v>
      </c>
      <c r="I58" s="19" t="n">
        <f aca="false">seguros</f>
        <v>1800</v>
      </c>
      <c r="J58" s="19" t="n">
        <f aca="false">seguros</f>
        <v>1800</v>
      </c>
      <c r="K58" s="19" t="n">
        <f aca="false">seguros</f>
        <v>1800</v>
      </c>
      <c r="L58" s="19" t="n">
        <f aca="false">seguros</f>
        <v>1800</v>
      </c>
      <c r="M58" s="19" t="n">
        <f aca="false">seguros</f>
        <v>1800</v>
      </c>
      <c r="N58" s="19" t="n">
        <f aca="false">seguros</f>
        <v>1800</v>
      </c>
      <c r="O58" s="19" t="n">
        <f aca="false">seguros</f>
        <v>1800</v>
      </c>
      <c r="P58" s="19" t="n">
        <f aca="false">seguros</f>
        <v>1800</v>
      </c>
      <c r="Q58" s="19" t="n">
        <f aca="false">seguros</f>
        <v>1800</v>
      </c>
      <c r="R58" s="19" t="n">
        <f aca="false">seguros</f>
        <v>1800</v>
      </c>
      <c r="S58" s="19" t="n">
        <f aca="false">seguros</f>
        <v>1800</v>
      </c>
      <c r="T58" s="19" t="n">
        <f aca="false">seguros</f>
        <v>1800</v>
      </c>
      <c r="U58" s="19" t="n">
        <f aca="false">seguros</f>
        <v>1800</v>
      </c>
      <c r="V58" s="19" t="n">
        <f aca="false">seguros</f>
        <v>1800</v>
      </c>
      <c r="W58" s="19" t="n">
        <f aca="false">seguros</f>
        <v>1800</v>
      </c>
      <c r="X58" s="19" t="n">
        <f aca="false">seguros</f>
        <v>1800</v>
      </c>
      <c r="Y58" s="19" t="n">
        <f aca="false">seguros</f>
        <v>1800</v>
      </c>
      <c r="Z58" s="19" t="n">
        <f aca="false">seguros</f>
        <v>1800</v>
      </c>
      <c r="AA58" s="19" t="n">
        <f aca="false">seguros</f>
        <v>1800</v>
      </c>
      <c r="AB58" s="19" t="n">
        <f aca="false">seguros</f>
        <v>1800</v>
      </c>
      <c r="AC58" s="19" t="n">
        <f aca="false">seguros</f>
        <v>1800</v>
      </c>
      <c r="AD58" s="19" t="n">
        <f aca="false">seguros</f>
        <v>1800</v>
      </c>
      <c r="AE58" s="19" t="n">
        <f aca="false">seguros</f>
        <v>1800</v>
      </c>
      <c r="AF58" s="19" t="n">
        <f aca="false">seguros</f>
        <v>1800</v>
      </c>
      <c r="AG58" s="19" t="n">
        <f aca="false">seguros</f>
        <v>1800</v>
      </c>
      <c r="AH58" s="19" t="n">
        <f aca="false">seguros</f>
        <v>1800</v>
      </c>
      <c r="AI58" s="19" t="n">
        <f aca="false">seguros</f>
        <v>1800</v>
      </c>
      <c r="AJ58" s="19" t="n">
        <f aca="false">seguros</f>
        <v>1800</v>
      </c>
      <c r="AK58" s="19" t="n">
        <f aca="false">seguros</f>
        <v>1800</v>
      </c>
      <c r="AL58" s="19" t="n">
        <f aca="false">seguros</f>
        <v>1800</v>
      </c>
      <c r="AM58" s="77" t="n">
        <f aca="false">SUMIF($C$5:$AL$5,1,$C58:$AL58)</f>
        <v>21600</v>
      </c>
      <c r="AN58" s="77" t="n">
        <f aca="false">SUMIF($C$5:$AL$5,2,$C58:$AL58)</f>
        <v>21600</v>
      </c>
      <c r="AO58" s="77" t="n">
        <f aca="false">SUMIF($C$5:$AL$5,3,$C58:$AL58)</f>
        <v>21600</v>
      </c>
    </row>
    <row r="59" customFormat="false" ht="15" hidden="false" customHeight="true" outlineLevel="0" collapsed="false">
      <c r="A59" s="5" t="s">
        <v>484</v>
      </c>
      <c r="C59" s="19" t="n">
        <f aca="false">pruebas</f>
        <v>2000</v>
      </c>
      <c r="D59" s="19" t="n">
        <f aca="false">pruebas</f>
        <v>2000</v>
      </c>
      <c r="E59" s="19" t="n">
        <f aca="false">pruebas</f>
        <v>2000</v>
      </c>
      <c r="F59" s="19" t="n">
        <f aca="false">pruebas</f>
        <v>2000</v>
      </c>
      <c r="G59" s="19" t="n">
        <f aca="false">pruebas</f>
        <v>2000</v>
      </c>
      <c r="H59" s="19" t="n">
        <f aca="false">pruebas</f>
        <v>2000</v>
      </c>
      <c r="I59" s="19" t="n">
        <f aca="false">pruebas</f>
        <v>2000</v>
      </c>
      <c r="J59" s="19" t="n">
        <f aca="false">pruebas</f>
        <v>2000</v>
      </c>
      <c r="K59" s="19" t="n">
        <f aca="false">pruebas</f>
        <v>2000</v>
      </c>
      <c r="L59" s="19" t="n">
        <f aca="false">pruebas</f>
        <v>2000</v>
      </c>
      <c r="M59" s="19" t="n">
        <f aca="false">pruebas</f>
        <v>2000</v>
      </c>
      <c r="N59" s="19" t="n">
        <f aca="false">pruebas</f>
        <v>2000</v>
      </c>
      <c r="O59" s="19" t="n">
        <f aca="false">pruebas</f>
        <v>2000</v>
      </c>
      <c r="P59" s="19" t="n">
        <f aca="false">pruebas</f>
        <v>2000</v>
      </c>
      <c r="Q59" s="19" t="n">
        <f aca="false">pruebas</f>
        <v>2000</v>
      </c>
      <c r="R59" s="19" t="n">
        <f aca="false">pruebas</f>
        <v>2000</v>
      </c>
      <c r="S59" s="19" t="n">
        <f aca="false">pruebas</f>
        <v>2000</v>
      </c>
      <c r="T59" s="19" t="n">
        <f aca="false">pruebas</f>
        <v>2000</v>
      </c>
      <c r="U59" s="19" t="n">
        <f aca="false">pruebas</f>
        <v>2000</v>
      </c>
      <c r="V59" s="19" t="n">
        <f aca="false">pruebas</f>
        <v>2000</v>
      </c>
      <c r="W59" s="19" t="n">
        <f aca="false">pruebas</f>
        <v>2000</v>
      </c>
      <c r="X59" s="19" t="n">
        <f aca="false">pruebas</f>
        <v>2000</v>
      </c>
      <c r="Y59" s="19" t="n">
        <f aca="false">pruebas</f>
        <v>2000</v>
      </c>
      <c r="Z59" s="19" t="n">
        <f aca="false">pruebas</f>
        <v>2000</v>
      </c>
      <c r="AA59" s="19" t="n">
        <f aca="false">pruebas</f>
        <v>2000</v>
      </c>
      <c r="AB59" s="19" t="n">
        <f aca="false">pruebas</f>
        <v>2000</v>
      </c>
      <c r="AC59" s="19" t="n">
        <f aca="false">pruebas</f>
        <v>2000</v>
      </c>
      <c r="AD59" s="19" t="n">
        <f aca="false">pruebas</f>
        <v>2000</v>
      </c>
      <c r="AE59" s="19" t="n">
        <f aca="false">pruebas</f>
        <v>2000</v>
      </c>
      <c r="AF59" s="19" t="n">
        <f aca="false">pruebas</f>
        <v>2000</v>
      </c>
      <c r="AG59" s="19" t="n">
        <f aca="false">pruebas</f>
        <v>2000</v>
      </c>
      <c r="AH59" s="19" t="n">
        <f aca="false">pruebas</f>
        <v>2000</v>
      </c>
      <c r="AI59" s="19" t="n">
        <f aca="false">pruebas</f>
        <v>2000</v>
      </c>
      <c r="AJ59" s="19" t="n">
        <f aca="false">pruebas</f>
        <v>2000</v>
      </c>
      <c r="AK59" s="19" t="n">
        <f aca="false">pruebas</f>
        <v>2000</v>
      </c>
      <c r="AL59" s="19" t="n">
        <f aca="false">pruebas</f>
        <v>2000</v>
      </c>
      <c r="AM59" s="77" t="n">
        <f aca="false">SUMIF($C$5:$AL$5,1,$C59:$AL59)</f>
        <v>24000</v>
      </c>
      <c r="AN59" s="77" t="n">
        <f aca="false">SUMIF($C$5:$AL$5,2,$C59:$AL59)</f>
        <v>24000</v>
      </c>
      <c r="AO59" s="77" t="n">
        <f aca="false">SUMIF($C$5:$AL$5,3,$C59:$AL59)</f>
        <v>24000</v>
      </c>
    </row>
    <row r="60" customFormat="false" ht="15" hidden="false" customHeight="true" outlineLevel="0" collapsed="false">
      <c r="A60" s="5" t="s">
        <v>486</v>
      </c>
      <c r="C60" s="19" t="n">
        <f aca="false">viaticos</f>
        <v>3000</v>
      </c>
      <c r="D60" s="19" t="n">
        <f aca="false">viaticos</f>
        <v>3000</v>
      </c>
      <c r="E60" s="19" t="n">
        <f aca="false">viaticos</f>
        <v>3000</v>
      </c>
      <c r="F60" s="19" t="n">
        <f aca="false">viaticos</f>
        <v>3000</v>
      </c>
      <c r="G60" s="19" t="n">
        <f aca="false">viaticos</f>
        <v>3000</v>
      </c>
      <c r="H60" s="19" t="n">
        <f aca="false">viaticos</f>
        <v>3000</v>
      </c>
      <c r="I60" s="19" t="n">
        <f aca="false">viaticos</f>
        <v>3000</v>
      </c>
      <c r="J60" s="19" t="n">
        <f aca="false">viaticos</f>
        <v>3000</v>
      </c>
      <c r="K60" s="19" t="n">
        <f aca="false">viaticos</f>
        <v>3000</v>
      </c>
      <c r="L60" s="19" t="n">
        <f aca="false">viaticos</f>
        <v>3000</v>
      </c>
      <c r="M60" s="19" t="n">
        <f aca="false">viaticos</f>
        <v>3000</v>
      </c>
      <c r="N60" s="19" t="n">
        <f aca="false">viaticos</f>
        <v>3000</v>
      </c>
      <c r="O60" s="19" t="n">
        <f aca="false">viaticos</f>
        <v>3000</v>
      </c>
      <c r="P60" s="19" t="n">
        <f aca="false">viaticos</f>
        <v>3000</v>
      </c>
      <c r="Q60" s="19" t="n">
        <f aca="false">viaticos</f>
        <v>3000</v>
      </c>
      <c r="R60" s="19" t="n">
        <f aca="false">viaticos</f>
        <v>3000</v>
      </c>
      <c r="S60" s="19" t="n">
        <f aca="false">viaticos</f>
        <v>3000</v>
      </c>
      <c r="T60" s="19" t="n">
        <f aca="false">viaticos</f>
        <v>3000</v>
      </c>
      <c r="U60" s="19" t="n">
        <f aca="false">viaticos</f>
        <v>3000</v>
      </c>
      <c r="V60" s="19" t="n">
        <f aca="false">viaticos</f>
        <v>3000</v>
      </c>
      <c r="W60" s="19" t="n">
        <f aca="false">viaticos</f>
        <v>3000</v>
      </c>
      <c r="X60" s="19" t="n">
        <f aca="false">viaticos</f>
        <v>3000</v>
      </c>
      <c r="Y60" s="19" t="n">
        <f aca="false">viaticos</f>
        <v>3000</v>
      </c>
      <c r="Z60" s="19" t="n">
        <f aca="false">viaticos</f>
        <v>3000</v>
      </c>
      <c r="AA60" s="19" t="n">
        <f aca="false">viaticos</f>
        <v>3000</v>
      </c>
      <c r="AB60" s="19" t="n">
        <f aca="false">viaticos</f>
        <v>3000</v>
      </c>
      <c r="AC60" s="19" t="n">
        <f aca="false">viaticos</f>
        <v>3000</v>
      </c>
      <c r="AD60" s="19" t="n">
        <f aca="false">viaticos</f>
        <v>3000</v>
      </c>
      <c r="AE60" s="19" t="n">
        <f aca="false">viaticos</f>
        <v>3000</v>
      </c>
      <c r="AF60" s="19" t="n">
        <f aca="false">viaticos</f>
        <v>3000</v>
      </c>
      <c r="AG60" s="19" t="n">
        <f aca="false">viaticos</f>
        <v>3000</v>
      </c>
      <c r="AH60" s="19" t="n">
        <f aca="false">viaticos</f>
        <v>3000</v>
      </c>
      <c r="AI60" s="19" t="n">
        <f aca="false">viaticos</f>
        <v>3000</v>
      </c>
      <c r="AJ60" s="19" t="n">
        <f aca="false">viaticos</f>
        <v>3000</v>
      </c>
      <c r="AK60" s="19" t="n">
        <f aca="false">viaticos</f>
        <v>3000</v>
      </c>
      <c r="AL60" s="19" t="n">
        <f aca="false">viaticos</f>
        <v>3000</v>
      </c>
      <c r="AM60" s="77" t="n">
        <f aca="false">SUMIF($C$5:$AL$5,1,$C60:$AL60)</f>
        <v>36000</v>
      </c>
      <c r="AN60" s="77" t="n">
        <f aca="false">SUMIF($C$5:$AL$5,2,$C60:$AL60)</f>
        <v>36000</v>
      </c>
      <c r="AO60" s="77" t="n">
        <f aca="false">SUMIF($C$5:$AL$5,3,$C60:$AL60)</f>
        <v>36000</v>
      </c>
    </row>
    <row r="61" customFormat="false" ht="15" hidden="false" customHeight="true" outlineLevel="0" collapsed="false">
      <c r="A61" s="5" t="s">
        <v>834</v>
      </c>
      <c r="C61" s="19" t="n">
        <f aca="false">IF(C$3=1,arr_marca+arr_legal+arr_fotos+arr_proto,0)</f>
        <v>83000</v>
      </c>
      <c r="D61" s="19" t="n">
        <f aca="false">IF(D$3=1,arr_marca+arr_legal+arr_fotos+arr_proto,0)</f>
        <v>0</v>
      </c>
      <c r="E61" s="19" t="n">
        <f aca="false">IF(E$3=1,arr_marca+arr_legal+arr_fotos+arr_proto,0)</f>
        <v>0</v>
      </c>
      <c r="F61" s="19" t="n">
        <f aca="false">IF(F$3=1,arr_marca+arr_legal+arr_fotos+arr_proto,0)</f>
        <v>0</v>
      </c>
      <c r="G61" s="19" t="n">
        <f aca="false">IF(G$3=1,arr_marca+arr_legal+arr_fotos+arr_proto,0)</f>
        <v>0</v>
      </c>
      <c r="H61" s="19" t="n">
        <f aca="false">IF(H$3=1,arr_marca+arr_legal+arr_fotos+arr_proto,0)</f>
        <v>0</v>
      </c>
      <c r="I61" s="19" t="n">
        <f aca="false">IF(I$3=1,arr_marca+arr_legal+arr_fotos+arr_proto,0)</f>
        <v>0</v>
      </c>
      <c r="J61" s="19" t="n">
        <f aca="false">IF(J$3=1,arr_marca+arr_legal+arr_fotos+arr_proto,0)</f>
        <v>0</v>
      </c>
      <c r="K61" s="19" t="n">
        <f aca="false">IF(K$3=1,arr_marca+arr_legal+arr_fotos+arr_proto,0)</f>
        <v>0</v>
      </c>
      <c r="L61" s="19" t="n">
        <f aca="false">IF(L$3=1,arr_marca+arr_legal+arr_fotos+arr_proto,0)</f>
        <v>0</v>
      </c>
      <c r="M61" s="19" t="n">
        <f aca="false">IF(M$3=1,arr_marca+arr_legal+arr_fotos+arr_proto,0)</f>
        <v>0</v>
      </c>
      <c r="N61" s="19" t="n">
        <f aca="false">IF(N$3=1,arr_marca+arr_legal+arr_fotos+arr_proto,0)</f>
        <v>0</v>
      </c>
      <c r="O61" s="19" t="n">
        <f aca="false">IF(O$3=1,arr_marca+arr_legal+arr_fotos+arr_proto,0)</f>
        <v>0</v>
      </c>
      <c r="P61" s="19" t="n">
        <f aca="false">IF(P$3=1,arr_marca+arr_legal+arr_fotos+arr_proto,0)</f>
        <v>0</v>
      </c>
      <c r="Q61" s="19" t="n">
        <f aca="false">IF(Q$3=1,arr_marca+arr_legal+arr_fotos+arr_proto,0)</f>
        <v>0</v>
      </c>
      <c r="R61" s="19" t="n">
        <f aca="false">IF(R$3=1,arr_marca+arr_legal+arr_fotos+arr_proto,0)</f>
        <v>0</v>
      </c>
      <c r="S61" s="19" t="n">
        <f aca="false">IF(S$3=1,arr_marca+arr_legal+arr_fotos+arr_proto,0)</f>
        <v>0</v>
      </c>
      <c r="T61" s="19" t="n">
        <f aca="false">IF(T$3=1,arr_marca+arr_legal+arr_fotos+arr_proto,0)</f>
        <v>0</v>
      </c>
      <c r="U61" s="19" t="n">
        <f aca="false">IF(U$3=1,arr_marca+arr_legal+arr_fotos+arr_proto,0)</f>
        <v>0</v>
      </c>
      <c r="V61" s="19" t="n">
        <f aca="false">IF(V$3=1,arr_marca+arr_legal+arr_fotos+arr_proto,0)</f>
        <v>0</v>
      </c>
      <c r="W61" s="19" t="n">
        <f aca="false">IF(W$3=1,arr_marca+arr_legal+arr_fotos+arr_proto,0)</f>
        <v>0</v>
      </c>
      <c r="X61" s="19" t="n">
        <f aca="false">IF(X$3=1,arr_marca+arr_legal+arr_fotos+arr_proto,0)</f>
        <v>0</v>
      </c>
      <c r="Y61" s="19" t="n">
        <f aca="false">IF(Y$3=1,arr_marca+arr_legal+arr_fotos+arr_proto,0)</f>
        <v>0</v>
      </c>
      <c r="Z61" s="19" t="n">
        <f aca="false">IF(Z$3=1,arr_marca+arr_legal+arr_fotos+arr_proto,0)</f>
        <v>0</v>
      </c>
      <c r="AA61" s="19" t="n">
        <f aca="false">IF(AA$3=1,arr_marca+arr_legal+arr_fotos+arr_proto,0)</f>
        <v>0</v>
      </c>
      <c r="AB61" s="19" t="n">
        <f aca="false">IF(AB$3=1,arr_marca+arr_legal+arr_fotos+arr_proto,0)</f>
        <v>0</v>
      </c>
      <c r="AC61" s="19" t="n">
        <f aca="false">IF(AC$3=1,arr_marca+arr_legal+arr_fotos+arr_proto,0)</f>
        <v>0</v>
      </c>
      <c r="AD61" s="19" t="n">
        <f aca="false">IF(AD$3=1,arr_marca+arr_legal+arr_fotos+arr_proto,0)</f>
        <v>0</v>
      </c>
      <c r="AE61" s="19" t="n">
        <f aca="false">IF(AE$3=1,arr_marca+arr_legal+arr_fotos+arr_proto,0)</f>
        <v>0</v>
      </c>
      <c r="AF61" s="19" t="n">
        <f aca="false">IF(AF$3=1,arr_marca+arr_legal+arr_fotos+arr_proto,0)</f>
        <v>0</v>
      </c>
      <c r="AG61" s="19" t="n">
        <f aca="false">IF(AG$3=1,arr_marca+arr_legal+arr_fotos+arr_proto,0)</f>
        <v>0</v>
      </c>
      <c r="AH61" s="19" t="n">
        <f aca="false">IF(AH$3=1,arr_marca+arr_legal+arr_fotos+arr_proto,0)</f>
        <v>0</v>
      </c>
      <c r="AI61" s="19" t="n">
        <f aca="false">IF(AI$3=1,arr_marca+arr_legal+arr_fotos+arr_proto,0)</f>
        <v>0</v>
      </c>
      <c r="AJ61" s="19" t="n">
        <f aca="false">IF(AJ$3=1,arr_marca+arr_legal+arr_fotos+arr_proto,0)</f>
        <v>0</v>
      </c>
      <c r="AK61" s="19" t="n">
        <f aca="false">IF(AK$3=1,arr_marca+arr_legal+arr_fotos+arr_proto,0)</f>
        <v>0</v>
      </c>
      <c r="AL61" s="19" t="n">
        <f aca="false">IF(AL$3=1,arr_marca+arr_legal+arr_fotos+arr_proto,0)</f>
        <v>0</v>
      </c>
      <c r="AM61" s="77" t="n">
        <f aca="false">SUMIF($C$5:$AL$5,1,$C61:$AL61)</f>
        <v>83000</v>
      </c>
      <c r="AN61" s="77" t="n">
        <f aca="false">SUMIF($C$5:$AL$5,2,$C61:$AL61)</f>
        <v>0</v>
      </c>
      <c r="AO61" s="77" t="n">
        <f aca="false">SUMIF($C$5:$AL$5,3,$C61:$AL61)</f>
        <v>0</v>
      </c>
    </row>
    <row r="62" customFormat="false" ht="15" hidden="false" customHeight="true" outlineLevel="0" collapsed="false">
      <c r="A62" s="78" t="s">
        <v>835</v>
      </c>
      <c r="C62" s="79" t="n">
        <f aca="false">SUM(C50:C61)</f>
        <v>178750</v>
      </c>
      <c r="D62" s="79" t="n">
        <f aca="false">SUM(D50:D61)</f>
        <v>95750</v>
      </c>
      <c r="E62" s="79" t="n">
        <f aca="false">SUM(E50:E61)</f>
        <v>109250</v>
      </c>
      <c r="F62" s="79" t="n">
        <f aca="false">SUM(F50:F61)</f>
        <v>109250</v>
      </c>
      <c r="G62" s="79" t="n">
        <f aca="false">SUM(G50:G61)</f>
        <v>109250</v>
      </c>
      <c r="H62" s="79" t="n">
        <f aca="false">SUM(H50:H61)</f>
        <v>109250</v>
      </c>
      <c r="I62" s="79" t="n">
        <f aca="false">SUM(I50:I61)</f>
        <v>109250</v>
      </c>
      <c r="J62" s="79" t="n">
        <f aca="false">SUM(J50:J61)</f>
        <v>109250</v>
      </c>
      <c r="K62" s="79" t="n">
        <f aca="false">SUM(K50:K61)</f>
        <v>109250</v>
      </c>
      <c r="L62" s="79" t="n">
        <f aca="false">SUM(L50:L61)</f>
        <v>109250</v>
      </c>
      <c r="M62" s="79" t="n">
        <f aca="false">SUM(M50:M61)</f>
        <v>109250</v>
      </c>
      <c r="N62" s="79" t="n">
        <f aca="false">SUM(N50:N61)</f>
        <v>109250</v>
      </c>
      <c r="O62" s="79" t="n">
        <f aca="false">SUM(O50:O61)</f>
        <v>109250</v>
      </c>
      <c r="P62" s="79" t="n">
        <f aca="false">SUM(P50:P61)</f>
        <v>109250</v>
      </c>
      <c r="Q62" s="79" t="n">
        <f aca="false">SUM(Q50:Q61)</f>
        <v>109250</v>
      </c>
      <c r="R62" s="79" t="n">
        <f aca="false">SUM(R50:R61)</f>
        <v>109250</v>
      </c>
      <c r="S62" s="79" t="n">
        <f aca="false">SUM(S50:S61)</f>
        <v>109250</v>
      </c>
      <c r="T62" s="79" t="n">
        <f aca="false">SUM(T50:T61)</f>
        <v>109250</v>
      </c>
      <c r="U62" s="79" t="n">
        <f aca="false">SUM(U50:U61)</f>
        <v>109250</v>
      </c>
      <c r="V62" s="79" t="n">
        <f aca="false">SUM(V50:V61)</f>
        <v>109250</v>
      </c>
      <c r="W62" s="79" t="n">
        <f aca="false">SUM(W50:W61)</f>
        <v>109250</v>
      </c>
      <c r="X62" s="79" t="n">
        <f aca="false">SUM(X50:X61)</f>
        <v>109250</v>
      </c>
      <c r="Y62" s="79" t="n">
        <f aca="false">SUM(Y50:Y61)</f>
        <v>109250</v>
      </c>
      <c r="Z62" s="79" t="n">
        <f aca="false">SUM(Z50:Z61)</f>
        <v>109250</v>
      </c>
      <c r="AA62" s="79" t="n">
        <f aca="false">SUM(AA50:AA61)</f>
        <v>109250</v>
      </c>
      <c r="AB62" s="79" t="n">
        <f aca="false">SUM(AB50:AB61)</f>
        <v>109250</v>
      </c>
      <c r="AC62" s="79" t="n">
        <f aca="false">SUM(AC50:AC61)</f>
        <v>109250</v>
      </c>
      <c r="AD62" s="79" t="n">
        <f aca="false">SUM(AD50:AD61)</f>
        <v>109250</v>
      </c>
      <c r="AE62" s="79" t="n">
        <f aca="false">SUM(AE50:AE61)</f>
        <v>109250</v>
      </c>
      <c r="AF62" s="79" t="n">
        <f aca="false">SUM(AF50:AF61)</f>
        <v>109250</v>
      </c>
      <c r="AG62" s="79" t="n">
        <f aca="false">SUM(AG50:AG61)</f>
        <v>109250</v>
      </c>
      <c r="AH62" s="79" t="n">
        <f aca="false">SUM(AH50:AH61)</f>
        <v>109250</v>
      </c>
      <c r="AI62" s="79" t="n">
        <f aca="false">SUM(AI50:AI61)</f>
        <v>109250</v>
      </c>
      <c r="AJ62" s="79" t="n">
        <f aca="false">SUM(AJ50:AJ61)</f>
        <v>109250</v>
      </c>
      <c r="AK62" s="79" t="n">
        <f aca="false">SUM(AK50:AK61)</f>
        <v>109250</v>
      </c>
      <c r="AL62" s="79" t="n">
        <f aca="false">SUM(AL50:AL61)</f>
        <v>109250</v>
      </c>
      <c r="AM62" s="79" t="n">
        <f aca="false">SUMIF($C$5:$AL$5,1,$C62:$AL62)</f>
        <v>1367000</v>
      </c>
      <c r="AN62" s="79" t="n">
        <f aca="false">SUMIF($C$5:$AL$5,2,$C62:$AL62)</f>
        <v>1311000</v>
      </c>
      <c r="AO62" s="79" t="n">
        <f aca="false">SUMIF($C$5:$AL$5,3,$C62:$AL62)</f>
        <v>1311000</v>
      </c>
    </row>
    <row r="63" customFormat="false" ht="15" hidden="false" customHeight="true" outlineLevel="0" collapsed="false">
      <c r="A63" s="81" t="s">
        <v>63</v>
      </c>
      <c r="C63" s="82" t="n">
        <f aca="false">C46-C62</f>
        <v>-77410.8044787635</v>
      </c>
      <c r="D63" s="82" t="n">
        <f aca="false">D46-D62</f>
        <v>33435.0650317572</v>
      </c>
      <c r="E63" s="82" t="n">
        <f aca="false">E46-E62</f>
        <v>-84631.0565372738</v>
      </c>
      <c r="F63" s="82" t="n">
        <f aca="false">F46-F62</f>
        <v>-58000.7050981131</v>
      </c>
      <c r="G63" s="82" t="n">
        <f aca="false">G46-G62</f>
        <v>-36922.7890687426</v>
      </c>
      <c r="H63" s="82" t="n">
        <f aca="false">H46-H62</f>
        <v>-13713.5869008978</v>
      </c>
      <c r="I63" s="82" t="n">
        <f aca="false">I46-I62</f>
        <v>-2001.07707027493</v>
      </c>
      <c r="J63" s="82" t="n">
        <f aca="false">J46-J62</f>
        <v>-3133.70406726272</v>
      </c>
      <c r="K63" s="82" t="n">
        <f aca="false">K46-K62</f>
        <v>15652.2838489617</v>
      </c>
      <c r="L63" s="82" t="n">
        <f aca="false">L46-L62</f>
        <v>16012.7060925383</v>
      </c>
      <c r="M63" s="82" t="n">
        <f aca="false">M46-M62</f>
        <v>21966.4630720617</v>
      </c>
      <c r="N63" s="82" t="n">
        <f aca="false">N46-N62</f>
        <v>143950.004679705</v>
      </c>
      <c r="O63" s="82" t="n">
        <f aca="false">O46-O62</f>
        <v>295360.263009363</v>
      </c>
      <c r="P63" s="82" t="n">
        <f aca="false">P46-P62</f>
        <v>236876.596189363</v>
      </c>
      <c r="Q63" s="82" t="n">
        <f aca="false">Q46-Q62</f>
        <v>24282.0328791469</v>
      </c>
      <c r="R63" s="82" t="n">
        <f aca="false">R46-R62</f>
        <v>30369.6741490331</v>
      </c>
      <c r="S63" s="82" t="n">
        <f aca="false">S46-S62</f>
        <v>42544.9566888056</v>
      </c>
      <c r="T63" s="82" t="n">
        <f aca="false">T46-T62</f>
        <v>48632.5979586918</v>
      </c>
      <c r="U63" s="82" t="n">
        <f aca="false">U46-U62</f>
        <v>42544.9566888056</v>
      </c>
      <c r="V63" s="82" t="n">
        <f aca="false">V46-V62</f>
        <v>24282.0328791469</v>
      </c>
      <c r="W63" s="82" t="n">
        <f aca="false">W46-W62</f>
        <v>24282.0328791469</v>
      </c>
      <c r="X63" s="82" t="n">
        <f aca="false">X46-X62</f>
        <v>24282.0328791469</v>
      </c>
      <c r="Y63" s="82" t="n">
        <f aca="false">Y46-Y62</f>
        <v>30369.6741490331</v>
      </c>
      <c r="Z63" s="82" t="n">
        <f aca="false">Z46-Z62</f>
        <v>163325.099824282</v>
      </c>
      <c r="AA63" s="82" t="n">
        <f aca="false">AA46-AA62</f>
        <v>320668.981041966</v>
      </c>
      <c r="AB63" s="82" t="n">
        <f aca="false">AB46-AB62</f>
        <v>256857.163057208</v>
      </c>
      <c r="AC63" s="82" t="n">
        <f aca="false">AC46-AC62</f>
        <v>32981.8278764821</v>
      </c>
      <c r="AD63" s="82" t="n">
        <f aca="false">AD46-AD62</f>
        <v>39613.2063337017</v>
      </c>
      <c r="AE63" s="82" t="n">
        <f aca="false">AE46-AE62</f>
        <v>52875.963248141</v>
      </c>
      <c r="AF63" s="82" t="n">
        <f aca="false">AF46-AF62</f>
        <v>59507.3417053608</v>
      </c>
      <c r="AG63" s="82" t="n">
        <f aca="false">AG46-AG62</f>
        <v>52875.963248141</v>
      </c>
      <c r="AH63" s="82" t="n">
        <f aca="false">AH46-AH62</f>
        <v>32981.8278764821</v>
      </c>
      <c r="AI63" s="82" t="n">
        <f aca="false">AI46-AI62</f>
        <v>32981.8278764821</v>
      </c>
      <c r="AJ63" s="82" t="n">
        <f aca="false">AJ46-AJ62</f>
        <v>32981.8278764821</v>
      </c>
      <c r="AK63" s="82" t="n">
        <f aca="false">AK46-AK62</f>
        <v>39613.2063337017</v>
      </c>
      <c r="AL63" s="82" t="n">
        <f aca="false">AL46-AL62</f>
        <v>184637.704483316</v>
      </c>
      <c r="AM63" s="79" t="n">
        <f aca="false">SUMIF($C$5:$AL$5,1,$C63:$AL63)</f>
        <v>-44797.2004963043</v>
      </c>
      <c r="AN63" s="79" t="n">
        <f aca="false">SUMIF($C$5:$AL$5,2,$C63:$AL63)</f>
        <v>987151.950173964</v>
      </c>
      <c r="AO63" s="79" t="n">
        <f aca="false">SUMIF($C$5:$AL$5,3,$C63:$AL63)</f>
        <v>1138576.84095746</v>
      </c>
    </row>
    <row r="64" customFormat="false" ht="15" hidden="false" customHeight="true" outlineLevel="0" collapsed="false">
      <c r="A64" s="5" t="s">
        <v>64</v>
      </c>
      <c r="C64" s="20" t="n">
        <f aca="false">IFERROR(C63/C20,0)</f>
        <v>-0.311127321982033</v>
      </c>
      <c r="D64" s="20" t="n">
        <f aca="false">IFERROR(D63/D20,0)</f>
        <v>0.131128027290772</v>
      </c>
      <c r="E64" s="20" t="n">
        <f aca="false">IFERROR(E63/E20,0)</f>
        <v>-0.44731678947579</v>
      </c>
      <c r="F64" s="20" t="n">
        <f aca="false">IFERROR(F63/F20,0)</f>
        <v>-0.20633877744097</v>
      </c>
      <c r="G64" s="20" t="n">
        <f aca="false">IFERROR(G63/G20,0)</f>
        <v>-0.0997421552128074</v>
      </c>
      <c r="H64" s="20" t="n">
        <f aca="false">IFERROR(H63/H20,0)</f>
        <v>-0.029638257490703</v>
      </c>
      <c r="I64" s="20" t="n">
        <f aca="false">IFERROR(I63/I20,0)</f>
        <v>-0.00387614512559758</v>
      </c>
      <c r="J64" s="20" t="n">
        <f aca="false">IFERROR(J63/J20,0)</f>
        <v>-0.00604301520425856</v>
      </c>
      <c r="K64" s="20" t="n">
        <f aca="false">IFERROR(K63/K20,0)</f>
        <v>0.0324928685762458</v>
      </c>
      <c r="L64" s="20" t="n">
        <f aca="false">IFERROR(L63/L20,0)</f>
        <v>0.0331920472825801</v>
      </c>
      <c r="M64" s="20" t="n">
        <f aca="false">IFERROR(M63/M20,0)</f>
        <v>0.0434590683346745</v>
      </c>
      <c r="N64" s="20" t="n">
        <f aca="false">IFERROR(N63/N20,0)</f>
        <v>0.158784769148297</v>
      </c>
      <c r="O64" s="20" t="n">
        <f aca="false">IFERROR(O63/O20,0)</f>
        <v>0.233219859494186</v>
      </c>
      <c r="P64" s="20" t="n">
        <f aca="false">IFERROR(P63/P20,0)</f>
        <v>0.224451683749837</v>
      </c>
      <c r="Q64" s="20" t="n">
        <f aca="false">IFERROR(Q63/Q20,0)</f>
        <v>0.0469997233782738</v>
      </c>
      <c r="R64" s="20" t="n">
        <f aca="false">IFERROR(R63/R20,0)</f>
        <v>0.056130961818833</v>
      </c>
      <c r="S64" s="20" t="n">
        <f aca="false">IFERROR(S63/S20,0)</f>
        <v>0.0721263739049527</v>
      </c>
      <c r="T64" s="20" t="n">
        <f aca="false">IFERROR(T63/T20,0)</f>
        <v>0.079170711540931</v>
      </c>
      <c r="U64" s="20" t="n">
        <f aca="false">IFERROR(U63/U20,0)</f>
        <v>0.0721263739049527</v>
      </c>
      <c r="V64" s="20" t="n">
        <f aca="false">IFERROR(V63/V20,0)</f>
        <v>0.0469997233782738</v>
      </c>
      <c r="W64" s="20" t="n">
        <f aca="false">IFERROR(W63/W20,0)</f>
        <v>0.0469997233782738</v>
      </c>
      <c r="X64" s="20" t="n">
        <f aca="false">IFERROR(X63/X20,0)</f>
        <v>0.0469997233782738</v>
      </c>
      <c r="Y64" s="20" t="n">
        <f aca="false">IFERROR(Y63/Y20,0)</f>
        <v>0.056130961818833</v>
      </c>
      <c r="Z64" s="20" t="n">
        <f aca="false">IFERROR(Z63/Z20,0)</f>
        <v>0.166771287390771</v>
      </c>
      <c r="AA64" s="20" t="n">
        <f aca="false">IFERROR(AA63/AA20,0)</f>
        <v>0.235527646201669</v>
      </c>
      <c r="AB64" s="20" t="n">
        <f aca="false">IFERROR(AB63/AB20,0)</f>
        <v>0.227228138641906</v>
      </c>
      <c r="AC64" s="20" t="n">
        <f aca="false">IFERROR(AC63/AC20,0)</f>
        <v>0.0595880886162832</v>
      </c>
      <c r="AD64" s="20" t="n">
        <f aca="false">IFERROR(AD63/AD20,0)</f>
        <v>0.0682740650575741</v>
      </c>
      <c r="AE64" s="20" t="n">
        <f aca="false">IFERROR(AE63/AE20,0)</f>
        <v>0.0834489963923519</v>
      </c>
      <c r="AF64" s="20" t="n">
        <f aca="false">IFERROR(AF63/AF20,0)</f>
        <v>0.0901156956317154</v>
      </c>
      <c r="AG64" s="20" t="n">
        <f aca="false">IFERROR(AG63/AG20,0)</f>
        <v>0.0834489963923519</v>
      </c>
      <c r="AH64" s="20" t="n">
        <f aca="false">IFERROR(AH63/AH20,0)</f>
        <v>0.0595880886162832</v>
      </c>
      <c r="AI64" s="20" t="n">
        <f aca="false">IFERROR(AI63/AI20,0)</f>
        <v>0.0595880886162832</v>
      </c>
      <c r="AJ64" s="20" t="n">
        <f aca="false">IFERROR(AJ63/AJ20,0)</f>
        <v>0.0595880886162832</v>
      </c>
      <c r="AK64" s="20" t="n">
        <f aca="false">IFERROR(AK63/AK20,0)</f>
        <v>0.0682740650575741</v>
      </c>
      <c r="AL64" s="20" t="n">
        <f aca="false">IFERROR(AL63/AL20,0)</f>
        <v>0.174289305395866</v>
      </c>
      <c r="AM64" s="80" t="n">
        <f aca="false">IFERROR(AM63/AM20,0)</f>
        <v>-0.00858521613772418</v>
      </c>
      <c r="AN64" s="80" t="n">
        <f aca="false">IFERROR(AN63/AN20,0)</f>
        <v>0.119744543103271</v>
      </c>
      <c r="AO64" s="80" t="n">
        <f aca="false">IFERROR(AO63/AO20,0)</f>
        <v>0.128605182373378</v>
      </c>
    </row>
    <row r="65" customFormat="false" ht="15" hidden="false" customHeight="true" outlineLevel="0" collapsed="false">
      <c r="A65" s="5" t="s">
        <v>836</v>
      </c>
      <c r="C65" s="19" t="n">
        <f aca="false">capex_n1/(dep_n1*12)*IF(C$3&lt;=dep_n1*12,1,0)+IF(AND(C$3&gt;=mes_planta,C$3&lt;mes_planta+dep_n2*12),capex_n2/(dep_n2*12),0)</f>
        <v>452.083333333333</v>
      </c>
      <c r="D65" s="19" t="n">
        <f aca="false">capex_n1/(dep_n1*12)*IF(D$3&lt;=dep_n1*12,1,0)+IF(AND(D$3&gt;=mes_planta,D$3&lt;mes_planta+dep_n2*12),capex_n2/(dep_n2*12),0)</f>
        <v>452.083333333333</v>
      </c>
      <c r="E65" s="19" t="n">
        <f aca="false">capex_n1/(dep_n1*12)*IF(E$3&lt;=dep_n1*12,1,0)+IF(AND(E$3&gt;=mes_planta,E$3&lt;mes_planta+dep_n2*12),capex_n2/(dep_n2*12),0)</f>
        <v>452.083333333333</v>
      </c>
      <c r="F65" s="19" t="n">
        <f aca="false">capex_n1/(dep_n1*12)*IF(F$3&lt;=dep_n1*12,1,0)+IF(AND(F$3&gt;=mes_planta,F$3&lt;mes_planta+dep_n2*12),capex_n2/(dep_n2*12),0)</f>
        <v>452.083333333333</v>
      </c>
      <c r="G65" s="19" t="n">
        <f aca="false">capex_n1/(dep_n1*12)*IF(G$3&lt;=dep_n1*12,1,0)+IF(AND(G$3&gt;=mes_planta,G$3&lt;mes_planta+dep_n2*12),capex_n2/(dep_n2*12),0)</f>
        <v>452.083333333333</v>
      </c>
      <c r="H65" s="19" t="n">
        <f aca="false">capex_n1/(dep_n1*12)*IF(H$3&lt;=dep_n1*12,1,0)+IF(AND(H$3&gt;=mes_planta,H$3&lt;mes_planta+dep_n2*12),capex_n2/(dep_n2*12),0)</f>
        <v>452.083333333333</v>
      </c>
      <c r="I65" s="19" t="n">
        <f aca="false">capex_n1/(dep_n1*12)*IF(I$3&lt;=dep_n1*12,1,0)+IF(AND(I$3&gt;=mes_planta,I$3&lt;mes_planta+dep_n2*12),capex_n2/(dep_n2*12),0)</f>
        <v>452.083333333333</v>
      </c>
      <c r="J65" s="19" t="n">
        <f aca="false">capex_n1/(dep_n1*12)*IF(J$3&lt;=dep_n1*12,1,0)+IF(AND(J$3&gt;=mes_planta,J$3&lt;mes_planta+dep_n2*12),capex_n2/(dep_n2*12),0)</f>
        <v>452.083333333333</v>
      </c>
      <c r="K65" s="19" t="n">
        <f aca="false">capex_n1/(dep_n1*12)*IF(K$3&lt;=dep_n1*12,1,0)+IF(AND(K$3&gt;=mes_planta,K$3&lt;mes_planta+dep_n2*12),capex_n2/(dep_n2*12),0)</f>
        <v>452.083333333333</v>
      </c>
      <c r="L65" s="19" t="n">
        <f aca="false">capex_n1/(dep_n1*12)*IF(L$3&lt;=dep_n1*12,1,0)+IF(AND(L$3&gt;=mes_planta,L$3&lt;mes_planta+dep_n2*12),capex_n2/(dep_n2*12),0)</f>
        <v>452.083333333333</v>
      </c>
      <c r="M65" s="19" t="n">
        <f aca="false">capex_n1/(dep_n1*12)*IF(M$3&lt;=dep_n1*12,1,0)+IF(AND(M$3&gt;=mes_planta,M$3&lt;mes_planta+dep_n2*12),capex_n2/(dep_n2*12),0)</f>
        <v>452.083333333333</v>
      </c>
      <c r="N65" s="19" t="n">
        <f aca="false">capex_n1/(dep_n1*12)*IF(N$3&lt;=dep_n1*12,1,0)+IF(AND(N$3&gt;=mes_planta,N$3&lt;mes_planta+dep_n2*12),capex_n2/(dep_n2*12),0)</f>
        <v>452.083333333333</v>
      </c>
      <c r="O65" s="19" t="n">
        <f aca="false">capex_n1/(dep_n1*12)*IF(O$3&lt;=dep_n1*12,1,0)+IF(AND(O$3&gt;=mes_planta,O$3&lt;mes_planta+dep_n2*12),capex_n2/(dep_n2*12),0)</f>
        <v>452.083333333333</v>
      </c>
      <c r="P65" s="19" t="n">
        <f aca="false">capex_n1/(dep_n1*12)*IF(P$3&lt;=dep_n1*12,1,0)+IF(AND(P$3&gt;=mes_planta,P$3&lt;mes_planta+dep_n2*12),capex_n2/(dep_n2*12),0)</f>
        <v>452.083333333333</v>
      </c>
      <c r="Q65" s="19" t="n">
        <f aca="false">capex_n1/(dep_n1*12)*IF(Q$3&lt;=dep_n1*12,1,0)+IF(AND(Q$3&gt;=mes_planta,Q$3&lt;mes_planta+dep_n2*12),capex_n2/(dep_n2*12),0)</f>
        <v>452.083333333333</v>
      </c>
      <c r="R65" s="19" t="n">
        <f aca="false">capex_n1/(dep_n1*12)*IF(R$3&lt;=dep_n1*12,1,0)+IF(AND(R$3&gt;=mes_planta,R$3&lt;mes_planta+dep_n2*12),capex_n2/(dep_n2*12),0)</f>
        <v>452.083333333333</v>
      </c>
      <c r="S65" s="19" t="n">
        <f aca="false">capex_n1/(dep_n1*12)*IF(S$3&lt;=dep_n1*12,1,0)+IF(AND(S$3&gt;=mes_planta,S$3&lt;mes_planta+dep_n2*12),capex_n2/(dep_n2*12),0)</f>
        <v>452.083333333333</v>
      </c>
      <c r="T65" s="19" t="n">
        <f aca="false">capex_n1/(dep_n1*12)*IF(T$3&lt;=dep_n1*12,1,0)+IF(AND(T$3&gt;=mes_planta,T$3&lt;mes_planta+dep_n2*12),capex_n2/(dep_n2*12),0)</f>
        <v>452.083333333333</v>
      </c>
      <c r="U65" s="19" t="n">
        <f aca="false">capex_n1/(dep_n1*12)*IF(U$3&lt;=dep_n1*12,1,0)+IF(AND(U$3&gt;=mes_planta,U$3&lt;mes_planta+dep_n2*12),capex_n2/(dep_n2*12),0)</f>
        <v>452.083333333333</v>
      </c>
      <c r="V65" s="19" t="n">
        <f aca="false">capex_n1/(dep_n1*12)*IF(V$3&lt;=dep_n1*12,1,0)+IF(AND(V$3&gt;=mes_planta,V$3&lt;mes_planta+dep_n2*12),capex_n2/(dep_n2*12),0)</f>
        <v>452.083333333333</v>
      </c>
      <c r="W65" s="19" t="n">
        <f aca="false">capex_n1/(dep_n1*12)*IF(W$3&lt;=dep_n1*12,1,0)+IF(AND(W$3&gt;=mes_planta,W$3&lt;mes_planta+dep_n2*12),capex_n2/(dep_n2*12),0)</f>
        <v>452.083333333333</v>
      </c>
      <c r="X65" s="19" t="n">
        <f aca="false">capex_n1/(dep_n1*12)*IF(X$3&lt;=dep_n1*12,1,0)+IF(AND(X$3&gt;=mes_planta,X$3&lt;mes_planta+dep_n2*12),capex_n2/(dep_n2*12),0)</f>
        <v>452.083333333333</v>
      </c>
      <c r="Y65" s="19" t="n">
        <f aca="false">capex_n1/(dep_n1*12)*IF(Y$3&lt;=dep_n1*12,1,0)+IF(AND(Y$3&gt;=mes_planta,Y$3&lt;mes_planta+dep_n2*12),capex_n2/(dep_n2*12),0)</f>
        <v>452.083333333333</v>
      </c>
      <c r="Z65" s="19" t="n">
        <f aca="false">capex_n1/(dep_n1*12)*IF(Z$3&lt;=dep_n1*12,1,0)+IF(AND(Z$3&gt;=mes_planta,Z$3&lt;mes_planta+dep_n2*12),capex_n2/(dep_n2*12),0)</f>
        <v>452.083333333333</v>
      </c>
      <c r="AA65" s="19" t="n">
        <f aca="false">capex_n1/(dep_n1*12)*IF(AA$3&lt;=dep_n1*12,1,0)+IF(AND(AA$3&gt;=mes_planta,AA$3&lt;mes_planta+dep_n2*12),capex_n2/(dep_n2*12),0)</f>
        <v>0</v>
      </c>
      <c r="AB65" s="19" t="n">
        <f aca="false">capex_n1/(dep_n1*12)*IF(AB$3&lt;=dep_n1*12,1,0)+IF(AND(AB$3&gt;=mes_planta,AB$3&lt;mes_planta+dep_n2*12),capex_n2/(dep_n2*12),0)</f>
        <v>0</v>
      </c>
      <c r="AC65" s="19" t="n">
        <f aca="false">capex_n1/(dep_n1*12)*IF(AC$3&lt;=dep_n1*12,1,0)+IF(AND(AC$3&gt;=mes_planta,AC$3&lt;mes_planta+dep_n2*12),capex_n2/(dep_n2*12),0)</f>
        <v>0</v>
      </c>
      <c r="AD65" s="19" t="n">
        <f aca="false">capex_n1/(dep_n1*12)*IF(AD$3&lt;=dep_n1*12,1,0)+IF(AND(AD$3&gt;=mes_planta,AD$3&lt;mes_planta+dep_n2*12),capex_n2/(dep_n2*12),0)</f>
        <v>0</v>
      </c>
      <c r="AE65" s="19" t="n">
        <f aca="false">capex_n1/(dep_n1*12)*IF(AE$3&lt;=dep_n1*12,1,0)+IF(AND(AE$3&gt;=mes_planta,AE$3&lt;mes_planta+dep_n2*12),capex_n2/(dep_n2*12),0)</f>
        <v>0</v>
      </c>
      <c r="AF65" s="19" t="n">
        <f aca="false">capex_n1/(dep_n1*12)*IF(AF$3&lt;=dep_n1*12,1,0)+IF(AND(AF$3&gt;=mes_planta,AF$3&lt;mes_planta+dep_n2*12),capex_n2/(dep_n2*12),0)</f>
        <v>0</v>
      </c>
      <c r="AG65" s="19" t="n">
        <f aca="false">capex_n1/(dep_n1*12)*IF(AG$3&lt;=dep_n1*12,1,0)+IF(AND(AG$3&gt;=mes_planta,AG$3&lt;mes_planta+dep_n2*12),capex_n2/(dep_n2*12),0)</f>
        <v>0</v>
      </c>
      <c r="AH65" s="19" t="n">
        <f aca="false">capex_n1/(dep_n1*12)*IF(AH$3&lt;=dep_n1*12,1,0)+IF(AND(AH$3&gt;=mes_planta,AH$3&lt;mes_planta+dep_n2*12),capex_n2/(dep_n2*12),0)</f>
        <v>0</v>
      </c>
      <c r="AI65" s="19" t="n">
        <f aca="false">capex_n1/(dep_n1*12)*IF(AI$3&lt;=dep_n1*12,1,0)+IF(AND(AI$3&gt;=mes_planta,AI$3&lt;mes_planta+dep_n2*12),capex_n2/(dep_n2*12),0)</f>
        <v>0</v>
      </c>
      <c r="AJ65" s="19" t="n">
        <f aca="false">capex_n1/(dep_n1*12)*IF(AJ$3&lt;=dep_n1*12,1,0)+IF(AND(AJ$3&gt;=mes_planta,AJ$3&lt;mes_planta+dep_n2*12),capex_n2/(dep_n2*12),0)</f>
        <v>0</v>
      </c>
      <c r="AK65" s="19" t="n">
        <f aca="false">capex_n1/(dep_n1*12)*IF(AK$3&lt;=dep_n1*12,1,0)+IF(AND(AK$3&gt;=mes_planta,AK$3&lt;mes_planta+dep_n2*12),capex_n2/(dep_n2*12),0)</f>
        <v>0</v>
      </c>
      <c r="AL65" s="19" t="n">
        <f aca="false">capex_n1/(dep_n1*12)*IF(AL$3&lt;=dep_n1*12,1,0)+IF(AND(AL$3&gt;=mes_planta,AL$3&lt;mes_planta+dep_n2*12),capex_n2/(dep_n2*12),0)</f>
        <v>0</v>
      </c>
      <c r="AM65" s="77" t="n">
        <f aca="false">SUMIF($C$5:$AL$5,1,$C65:$AL65)</f>
        <v>5425</v>
      </c>
      <c r="AN65" s="77" t="n">
        <f aca="false">SUMIF($C$5:$AL$5,2,$C65:$AL65)</f>
        <v>5425</v>
      </c>
      <c r="AO65" s="77" t="n">
        <f aca="false">SUMIF($C$5:$AL$5,3,$C65:$AL65)</f>
        <v>0</v>
      </c>
    </row>
    <row r="66" customFormat="false" ht="15" hidden="false" customHeight="true" outlineLevel="0" collapsed="false">
      <c r="A66" s="21" t="s">
        <v>837</v>
      </c>
      <c r="C66" s="23" t="n">
        <f aca="false">C63-C65</f>
        <v>-77862.8878120968</v>
      </c>
      <c r="D66" s="23" t="n">
        <f aca="false">D63-D65</f>
        <v>32982.9816984238</v>
      </c>
      <c r="E66" s="23" t="n">
        <f aca="false">E63-E65</f>
        <v>-85083.1398706071</v>
      </c>
      <c r="F66" s="23" t="n">
        <f aca="false">F63-F65</f>
        <v>-58452.7884314464</v>
      </c>
      <c r="G66" s="23" t="n">
        <f aca="false">G63-G65</f>
        <v>-37374.8724020759</v>
      </c>
      <c r="H66" s="23" t="n">
        <f aca="false">H63-H65</f>
        <v>-14165.6702342311</v>
      </c>
      <c r="I66" s="23" t="n">
        <f aca="false">I63-I65</f>
        <v>-2453.16040360826</v>
      </c>
      <c r="J66" s="23" t="n">
        <f aca="false">J63-J65</f>
        <v>-3585.78740059605</v>
      </c>
      <c r="K66" s="23" t="n">
        <f aca="false">K63-K65</f>
        <v>15200.2005156284</v>
      </c>
      <c r="L66" s="23" t="n">
        <f aca="false">L63-L65</f>
        <v>15560.6227592049</v>
      </c>
      <c r="M66" s="23" t="n">
        <f aca="false">M63-M65</f>
        <v>21514.3797387284</v>
      </c>
      <c r="N66" s="23" t="n">
        <f aca="false">N63-N65</f>
        <v>143497.921346372</v>
      </c>
      <c r="O66" s="23" t="n">
        <f aca="false">O63-O65</f>
        <v>294908.179676029</v>
      </c>
      <c r="P66" s="23" t="n">
        <f aca="false">P63-P65</f>
        <v>236424.51285603</v>
      </c>
      <c r="Q66" s="23" t="n">
        <f aca="false">Q63-Q65</f>
        <v>23829.9495458136</v>
      </c>
      <c r="R66" s="23" t="n">
        <f aca="false">R63-R65</f>
        <v>29917.5908156998</v>
      </c>
      <c r="S66" s="23" t="n">
        <f aca="false">S63-S65</f>
        <v>42092.8733554722</v>
      </c>
      <c r="T66" s="23" t="n">
        <f aca="false">T63-T65</f>
        <v>48180.5146253584</v>
      </c>
      <c r="U66" s="23" t="n">
        <f aca="false">U63-U65</f>
        <v>42092.8733554722</v>
      </c>
      <c r="V66" s="23" t="n">
        <f aca="false">V63-V65</f>
        <v>23829.9495458136</v>
      </c>
      <c r="W66" s="23" t="n">
        <f aca="false">W63-W65</f>
        <v>23829.9495458136</v>
      </c>
      <c r="X66" s="23" t="n">
        <f aca="false">X63-X65</f>
        <v>23829.9495458136</v>
      </c>
      <c r="Y66" s="23" t="n">
        <f aca="false">Y63-Y65</f>
        <v>29917.5908156998</v>
      </c>
      <c r="Z66" s="23" t="n">
        <f aca="false">Z63-Z65</f>
        <v>162873.016490948</v>
      </c>
      <c r="AA66" s="23" t="n">
        <f aca="false">AA63-AA65</f>
        <v>320668.981041966</v>
      </c>
      <c r="AB66" s="23" t="n">
        <f aca="false">AB63-AB65</f>
        <v>256857.163057208</v>
      </c>
      <c r="AC66" s="23" t="n">
        <f aca="false">AC63-AC65</f>
        <v>32981.8278764821</v>
      </c>
      <c r="AD66" s="23" t="n">
        <f aca="false">AD63-AD65</f>
        <v>39613.2063337017</v>
      </c>
      <c r="AE66" s="23" t="n">
        <f aca="false">AE63-AE65</f>
        <v>52875.963248141</v>
      </c>
      <c r="AF66" s="23" t="n">
        <f aca="false">AF63-AF65</f>
        <v>59507.3417053608</v>
      </c>
      <c r="AG66" s="23" t="n">
        <f aca="false">AG63-AG65</f>
        <v>52875.963248141</v>
      </c>
      <c r="AH66" s="23" t="n">
        <f aca="false">AH63-AH65</f>
        <v>32981.8278764821</v>
      </c>
      <c r="AI66" s="23" t="n">
        <f aca="false">AI63-AI65</f>
        <v>32981.8278764821</v>
      </c>
      <c r="AJ66" s="23" t="n">
        <f aca="false">AJ63-AJ65</f>
        <v>32981.8278764821</v>
      </c>
      <c r="AK66" s="23" t="n">
        <f aca="false">AK63-AK65</f>
        <v>39613.2063337017</v>
      </c>
      <c r="AL66" s="23" t="n">
        <f aca="false">AL63-AL65</f>
        <v>184637.704483316</v>
      </c>
      <c r="AM66" s="79" t="n">
        <f aca="false">SUMIF($C$5:$AL$5,1,$C66:$AL66)</f>
        <v>-50222.2004963043</v>
      </c>
      <c r="AN66" s="79" t="n">
        <f aca="false">SUMIF($C$5:$AL$5,2,$C66:$AL66)</f>
        <v>981726.950173964</v>
      </c>
      <c r="AO66" s="79" t="n">
        <f aca="false">SUMIF($C$5:$AL$5,3,$C66:$AL66)</f>
        <v>1138576.84095746</v>
      </c>
    </row>
    <row r="67" customFormat="false" ht="15" hidden="false" customHeight="true" outlineLevel="0" collapsed="false">
      <c r="A67" s="5" t="s">
        <v>838</v>
      </c>
      <c r="C67" s="19" t="n">
        <f aca="false">C66</f>
        <v>-77862.8878120968</v>
      </c>
      <c r="D67" s="19" t="n">
        <f aca="false">C67+D66</f>
        <v>-44879.906113673</v>
      </c>
      <c r="E67" s="19" t="n">
        <f aca="false">D67+E66</f>
        <v>-129963.04598428</v>
      </c>
      <c r="F67" s="19" t="n">
        <f aca="false">E67+F66</f>
        <v>-188415.834415726</v>
      </c>
      <c r="G67" s="19" t="n">
        <f aca="false">F67+G66</f>
        <v>-225790.706817802</v>
      </c>
      <c r="H67" s="19" t="n">
        <f aca="false">G67+H66</f>
        <v>-239956.377052034</v>
      </c>
      <c r="I67" s="19" t="n">
        <f aca="false">H67+I66</f>
        <v>-242409.537455642</v>
      </c>
      <c r="J67" s="19" t="n">
        <f aca="false">I67+J66</f>
        <v>-245995.324856238</v>
      </c>
      <c r="K67" s="19" t="n">
        <f aca="false">J67+K66</f>
        <v>-230795.124340609</v>
      </c>
      <c r="L67" s="19" t="n">
        <f aca="false">K67+L66</f>
        <v>-215234.501581405</v>
      </c>
      <c r="M67" s="19" t="n">
        <f aca="false">L67+M66</f>
        <v>-193720.121842676</v>
      </c>
      <c r="N67" s="19" t="n">
        <f aca="false">M67+N66</f>
        <v>-50222.2004963043</v>
      </c>
      <c r="O67" s="19" t="n">
        <f aca="false">N67+O66</f>
        <v>244685.979179725</v>
      </c>
      <c r="P67" s="19" t="n">
        <f aca="false">O67+P66</f>
        <v>481110.492035755</v>
      </c>
      <c r="Q67" s="19" t="n">
        <f aca="false">P67+Q66</f>
        <v>504940.441581568</v>
      </c>
      <c r="R67" s="19" t="n">
        <f aca="false">Q67+R66</f>
        <v>534858.032397268</v>
      </c>
      <c r="S67" s="19" t="n">
        <f aca="false">R67+S66</f>
        <v>576950.90575274</v>
      </c>
      <c r="T67" s="19" t="n">
        <f aca="false">S67+T66</f>
        <v>625131.420378099</v>
      </c>
      <c r="U67" s="19" t="n">
        <f aca="false">T67+U66</f>
        <v>667224.293733571</v>
      </c>
      <c r="V67" s="19" t="n">
        <f aca="false">U67+V66</f>
        <v>691054.243279385</v>
      </c>
      <c r="W67" s="19" t="n">
        <f aca="false">V67+W66</f>
        <v>714884.192825198</v>
      </c>
      <c r="X67" s="19" t="n">
        <f aca="false">W67+X66</f>
        <v>738714.142371012</v>
      </c>
      <c r="Y67" s="19" t="n">
        <f aca="false">X67+Y66</f>
        <v>768631.733186712</v>
      </c>
      <c r="Z67" s="19" t="n">
        <f aca="false">Y67+Z66</f>
        <v>931504.74967766</v>
      </c>
      <c r="AA67" s="19" t="n">
        <f aca="false">Z67+AA66</f>
        <v>1252173.73071963</v>
      </c>
      <c r="AB67" s="19" t="n">
        <f aca="false">AA67+AB66</f>
        <v>1509030.89377683</v>
      </c>
      <c r="AC67" s="19" t="n">
        <f aca="false">AB67+AC66</f>
        <v>1542012.72165332</v>
      </c>
      <c r="AD67" s="19" t="n">
        <f aca="false">AC67+AD66</f>
        <v>1581625.92798702</v>
      </c>
      <c r="AE67" s="19" t="n">
        <f aca="false">AD67+AE66</f>
        <v>1634501.89123516</v>
      </c>
      <c r="AF67" s="19" t="n">
        <f aca="false">AE67+AF66</f>
        <v>1694009.23294052</v>
      </c>
      <c r="AG67" s="19" t="n">
        <f aca="false">AF67+AG66</f>
        <v>1746885.19618866</v>
      </c>
      <c r="AH67" s="19" t="n">
        <f aca="false">AG67+AH66</f>
        <v>1779867.02406514</v>
      </c>
      <c r="AI67" s="19" t="n">
        <f aca="false">AH67+AI66</f>
        <v>1812848.85194162</v>
      </c>
      <c r="AJ67" s="19" t="n">
        <f aca="false">AI67+AJ66</f>
        <v>1845830.67981811</v>
      </c>
      <c r="AK67" s="19" t="n">
        <f aca="false">AJ67+AK66</f>
        <v>1885443.88615181</v>
      </c>
      <c r="AL67" s="19" t="n">
        <f aca="false">AK67+AL66</f>
        <v>2070081.59063512</v>
      </c>
    </row>
    <row r="68" customFormat="false" ht="15" hidden="false" customHeight="true" outlineLevel="0" collapsed="false">
      <c r="A68" s="5" t="s">
        <v>839</v>
      </c>
      <c r="C68" s="19" t="n">
        <f aca="false">MAX(0,C67*isr)</f>
        <v>0</v>
      </c>
      <c r="D68" s="19" t="n">
        <f aca="false">MAX(0,MAX(0,D67*isr)-SUM($C68:C68))</f>
        <v>0</v>
      </c>
      <c r="E68" s="19" t="n">
        <f aca="false">MAX(0,MAX(0,E67*isr)-SUM($C68:D68))</f>
        <v>0</v>
      </c>
      <c r="F68" s="19" t="n">
        <f aca="false">MAX(0,MAX(0,F67*isr)-SUM($C68:E68))</f>
        <v>0</v>
      </c>
      <c r="G68" s="19" t="n">
        <f aca="false">MAX(0,MAX(0,G67*isr)-SUM($C68:F68))</f>
        <v>0</v>
      </c>
      <c r="H68" s="19" t="n">
        <f aca="false">MAX(0,MAX(0,H67*isr)-SUM($C68:G68))</f>
        <v>0</v>
      </c>
      <c r="I68" s="19" t="n">
        <f aca="false">MAX(0,MAX(0,I67*isr)-SUM($C68:H68))</f>
        <v>0</v>
      </c>
      <c r="J68" s="19" t="n">
        <f aca="false">MAX(0,MAX(0,J67*isr)-SUM($C68:I68))</f>
        <v>0</v>
      </c>
      <c r="K68" s="19" t="n">
        <f aca="false">MAX(0,MAX(0,K67*isr)-SUM($C68:J68))</f>
        <v>0</v>
      </c>
      <c r="L68" s="19" t="n">
        <f aca="false">MAX(0,MAX(0,L67*isr)-SUM($C68:K68))</f>
        <v>0</v>
      </c>
      <c r="M68" s="19" t="n">
        <f aca="false">MAX(0,MAX(0,M67*isr)-SUM($C68:L68))</f>
        <v>0</v>
      </c>
      <c r="N68" s="19" t="n">
        <f aca="false">MAX(0,MAX(0,N67*isr)-SUM($C68:M68))</f>
        <v>0</v>
      </c>
      <c r="O68" s="19" t="n">
        <f aca="false">MAX(0,MAX(0,O67*isr)-SUM($C68:N68))</f>
        <v>73405.7937539175</v>
      </c>
      <c r="P68" s="19" t="n">
        <f aca="false">MAX(0,MAX(0,P67*isr)-SUM($C68:O68))</f>
        <v>70927.353856809</v>
      </c>
      <c r="Q68" s="19" t="n">
        <f aca="false">MAX(0,MAX(0,Q67*isr)-SUM($C68:P68))</f>
        <v>7148.98486374409</v>
      </c>
      <c r="R68" s="19" t="n">
        <f aca="false">MAX(0,MAX(0,R67*isr)-SUM($C68:Q68))</f>
        <v>8975.27724470993</v>
      </c>
      <c r="S68" s="19" t="n">
        <f aca="false">MAX(0,MAX(0,S67*isr)-SUM($C68:R68))</f>
        <v>12627.8620066417</v>
      </c>
      <c r="T68" s="19" t="n">
        <f aca="false">MAX(0,MAX(0,T67*isr)-SUM($C68:S68))</f>
        <v>14454.1543876075</v>
      </c>
      <c r="U68" s="19" t="n">
        <f aca="false">MAX(0,MAX(0,U67*isr)-SUM($C68:T68))</f>
        <v>12627.8620066417</v>
      </c>
      <c r="V68" s="19" t="n">
        <f aca="false">MAX(0,MAX(0,V67*isr)-SUM($C68:U68))</f>
        <v>7148.98486374409</v>
      </c>
      <c r="W68" s="19" t="n">
        <f aca="false">MAX(0,MAX(0,W67*isr)-SUM($C68:V68))</f>
        <v>7148.98486374406</v>
      </c>
      <c r="X68" s="19" t="n">
        <f aca="false">MAX(0,MAX(0,X67*isr)-SUM($C68:W68))</f>
        <v>7148.98486374409</v>
      </c>
      <c r="Y68" s="19" t="n">
        <f aca="false">MAX(0,MAX(0,Y67*isr)-SUM($C68:X68))</f>
        <v>8975.27724470993</v>
      </c>
      <c r="Z68" s="19" t="n">
        <f aca="false">MAX(0,MAX(0,Z67*isr)-SUM($C68:Y68))</f>
        <v>48861.9049472845</v>
      </c>
      <c r="AA68" s="19" t="n">
        <f aca="false">MAX(0,MAX(0,AA67*isr)-SUM($C68:Z68))</f>
        <v>96200.6943125897</v>
      </c>
      <c r="AB68" s="19" t="n">
        <f aca="false">MAX(0,MAX(0,AB67*isr)-SUM($C68:AA68))</f>
        <v>77057.1489171624</v>
      </c>
      <c r="AC68" s="19" t="n">
        <f aca="false">MAX(0,MAX(0,AC67*isr)-SUM($C68:AB68))</f>
        <v>9894.54836294462</v>
      </c>
      <c r="AD68" s="19" t="n">
        <f aca="false">MAX(0,MAX(0,AD67*isr)-SUM($C68:AC68))</f>
        <v>11883.9619001105</v>
      </c>
      <c r="AE68" s="19" t="n">
        <f aca="false">MAX(0,MAX(0,AE67*isr)-SUM($C68:AD68))</f>
        <v>15862.7889744423</v>
      </c>
      <c r="AF68" s="19" t="n">
        <f aca="false">MAX(0,MAX(0,AF67*isr)-SUM($C68:AE68))</f>
        <v>17852.2025116083</v>
      </c>
      <c r="AG68" s="19" t="n">
        <f aca="false">MAX(0,MAX(0,AG67*isr)-SUM($C68:AF68))</f>
        <v>15862.7889744423</v>
      </c>
      <c r="AH68" s="19" t="n">
        <f aca="false">MAX(0,MAX(0,AH67*isr)-SUM($C68:AG68))</f>
        <v>9894.54836294462</v>
      </c>
      <c r="AI68" s="19" t="n">
        <f aca="false">MAX(0,MAX(0,AI67*isr)-SUM($C68:AH68))</f>
        <v>9894.54836294474</v>
      </c>
      <c r="AJ68" s="19" t="n">
        <f aca="false">MAX(0,MAX(0,AJ67*isr)-SUM($C68:AI68))</f>
        <v>9894.54836294462</v>
      </c>
      <c r="AK68" s="19" t="n">
        <f aca="false">MAX(0,MAX(0,AK67*isr)-SUM($C68:AJ68))</f>
        <v>11883.9619001105</v>
      </c>
      <c r="AL68" s="19" t="n">
        <f aca="false">MAX(0,MAX(0,AL67*isr)-SUM($C68:AK68))</f>
        <v>55391.3113449948</v>
      </c>
      <c r="AM68" s="77" t="n">
        <f aca="false">SUMIF($C$5:$AL$5,1,$C68:$AL68)</f>
        <v>0</v>
      </c>
      <c r="AN68" s="77" t="n">
        <f aca="false">SUMIF($C$5:$AL$5,2,$C68:$AL68)</f>
        <v>279451.424903298</v>
      </c>
      <c r="AO68" s="77" t="n">
        <f aca="false">SUMIF($C$5:$AL$5,3,$C68:$AL68)</f>
        <v>341573.052287239</v>
      </c>
    </row>
    <row r="69" customFormat="false" ht="15" hidden="false" customHeight="true" outlineLevel="0" collapsed="false">
      <c r="A69" s="5" t="s">
        <v>840</v>
      </c>
      <c r="C69" s="19" t="n">
        <f aca="false">MAX(0,C67*ptu)</f>
        <v>0</v>
      </c>
      <c r="D69" s="19" t="n">
        <f aca="false">MAX(0,MAX(0,D67*ptu)-SUM($C69:C69))</f>
        <v>0</v>
      </c>
      <c r="E69" s="19" t="n">
        <f aca="false">MAX(0,MAX(0,E67*ptu)-SUM($C69:D69))</f>
        <v>0</v>
      </c>
      <c r="F69" s="19" t="n">
        <f aca="false">MAX(0,MAX(0,F67*ptu)-SUM($C69:E69))</f>
        <v>0</v>
      </c>
      <c r="G69" s="19" t="n">
        <f aca="false">MAX(0,MAX(0,G67*ptu)-SUM($C69:F69))</f>
        <v>0</v>
      </c>
      <c r="H69" s="19" t="n">
        <f aca="false">MAX(0,MAX(0,H67*ptu)-SUM($C69:G69))</f>
        <v>0</v>
      </c>
      <c r="I69" s="19" t="n">
        <f aca="false">MAX(0,MAX(0,I67*ptu)-SUM($C69:H69))</f>
        <v>0</v>
      </c>
      <c r="J69" s="19" t="n">
        <f aca="false">MAX(0,MAX(0,J67*ptu)-SUM($C69:I69))</f>
        <v>0</v>
      </c>
      <c r="K69" s="19" t="n">
        <f aca="false">MAX(0,MAX(0,K67*ptu)-SUM($C69:J69))</f>
        <v>0</v>
      </c>
      <c r="L69" s="19" t="n">
        <f aca="false">MAX(0,MAX(0,L67*ptu)-SUM($C69:K69))</f>
        <v>0</v>
      </c>
      <c r="M69" s="19" t="n">
        <f aca="false">MAX(0,MAX(0,M67*ptu)-SUM($C69:L69))</f>
        <v>0</v>
      </c>
      <c r="N69" s="19" t="n">
        <f aca="false">MAX(0,MAX(0,N67*ptu)-SUM($C69:M69))</f>
        <v>0</v>
      </c>
      <c r="O69" s="19" t="n">
        <f aca="false">MAX(0,MAX(0,O67*ptu)-SUM($C69:N69))</f>
        <v>24468.5979179725</v>
      </c>
      <c r="P69" s="19" t="n">
        <f aca="false">MAX(0,MAX(0,P67*ptu)-SUM($C69:O69))</f>
        <v>23642.451285603</v>
      </c>
      <c r="Q69" s="19" t="n">
        <f aca="false">MAX(0,MAX(0,Q67*ptu)-SUM($C69:P69))</f>
        <v>2382.99495458137</v>
      </c>
      <c r="R69" s="19" t="n">
        <f aca="false">MAX(0,MAX(0,R67*ptu)-SUM($C69:Q69))</f>
        <v>2991.75908156997</v>
      </c>
      <c r="S69" s="19" t="n">
        <f aca="false">MAX(0,MAX(0,S67*ptu)-SUM($C69:R69))</f>
        <v>4209.28733554723</v>
      </c>
      <c r="T69" s="19" t="n">
        <f aca="false">MAX(0,MAX(0,T67*ptu)-SUM($C69:S69))</f>
        <v>4818.05146253584</v>
      </c>
      <c r="U69" s="19" t="n">
        <f aca="false">MAX(0,MAX(0,U67*ptu)-SUM($C69:T69))</f>
        <v>4209.28733554722</v>
      </c>
      <c r="V69" s="19" t="n">
        <f aca="false">MAX(0,MAX(0,V67*ptu)-SUM($C69:U69))</f>
        <v>2382.99495458136</v>
      </c>
      <c r="W69" s="19" t="n">
        <f aca="false">MAX(0,MAX(0,W67*ptu)-SUM($C69:V69))</f>
        <v>2382.99495458137</v>
      </c>
      <c r="X69" s="19" t="n">
        <f aca="false">MAX(0,MAX(0,X67*ptu)-SUM($C69:W69))</f>
        <v>2382.99495458136</v>
      </c>
      <c r="Y69" s="19" t="n">
        <f aca="false">MAX(0,MAX(0,Y67*ptu)-SUM($C69:X69))</f>
        <v>2991.75908156998</v>
      </c>
      <c r="Z69" s="19" t="n">
        <f aca="false">MAX(0,MAX(0,Z67*ptu)-SUM($C69:Y69))</f>
        <v>16287.3016490948</v>
      </c>
      <c r="AA69" s="19" t="n">
        <f aca="false">MAX(0,MAX(0,AA67*ptu)-SUM($C69:Z69))</f>
        <v>32066.8981041966</v>
      </c>
      <c r="AB69" s="19" t="n">
        <f aca="false">MAX(0,MAX(0,AB67*ptu)-SUM($C69:AA69))</f>
        <v>25685.7163057208</v>
      </c>
      <c r="AC69" s="19" t="n">
        <f aca="false">MAX(0,MAX(0,AC67*ptu)-SUM($C69:AB69))</f>
        <v>3298.18278764823</v>
      </c>
      <c r="AD69" s="19" t="n">
        <f aca="false">MAX(0,MAX(0,AD67*ptu)-SUM($C69:AC69))</f>
        <v>3961.32063337017</v>
      </c>
      <c r="AE69" s="19" t="n">
        <f aca="false">MAX(0,MAX(0,AE67*ptu)-SUM($C69:AD69))</f>
        <v>5287.59632481413</v>
      </c>
      <c r="AF69" s="19" t="n">
        <f aca="false">MAX(0,MAX(0,AF67*ptu)-SUM($C69:AE69))</f>
        <v>5950.73417053605</v>
      </c>
      <c r="AG69" s="19" t="n">
        <f aca="false">MAX(0,MAX(0,AG67*ptu)-SUM($C69:AF69))</f>
        <v>5287.59632481413</v>
      </c>
      <c r="AH69" s="19" t="n">
        <f aca="false">MAX(0,MAX(0,AH67*ptu)-SUM($C69:AG69))</f>
        <v>3298.1827876482</v>
      </c>
      <c r="AI69" s="19" t="n">
        <f aca="false">MAX(0,MAX(0,AI67*ptu)-SUM($C69:AH69))</f>
        <v>3298.18278764823</v>
      </c>
      <c r="AJ69" s="19" t="n">
        <f aca="false">MAX(0,MAX(0,AJ67*ptu)-SUM($C69:AI69))</f>
        <v>3298.1827876482</v>
      </c>
      <c r="AK69" s="19" t="n">
        <f aca="false">MAX(0,MAX(0,AK67*ptu)-SUM($C69:AJ69))</f>
        <v>3961.3206333702</v>
      </c>
      <c r="AL69" s="19" t="n">
        <f aca="false">MAX(0,MAX(0,AL67*ptu)-SUM($C69:AK69))</f>
        <v>18463.7704483316</v>
      </c>
      <c r="AM69" s="77" t="n">
        <f aca="false">SUMIF($C$5:$AL$5,1,$C69:$AL69)</f>
        <v>0</v>
      </c>
      <c r="AN69" s="77" t="n">
        <f aca="false">SUMIF($C$5:$AL$5,2,$C69:$AL69)</f>
        <v>93150.474967766</v>
      </c>
      <c r="AO69" s="77" t="n">
        <f aca="false">SUMIF($C$5:$AL$5,3,$C69:$AL69)</f>
        <v>113857.684095746</v>
      </c>
    </row>
    <row r="70" customFormat="false" ht="15" hidden="false" customHeight="true" outlineLevel="0" collapsed="false">
      <c r="A70" s="81" t="s">
        <v>841</v>
      </c>
      <c r="C70" s="82" t="n">
        <f aca="false">C66-C68-C69</f>
        <v>-77862.8878120968</v>
      </c>
      <c r="D70" s="82" t="n">
        <f aca="false">D66-D68-D69</f>
        <v>32982.9816984238</v>
      </c>
      <c r="E70" s="82" t="n">
        <f aca="false">E66-E68-E69</f>
        <v>-85083.1398706071</v>
      </c>
      <c r="F70" s="82" t="n">
        <f aca="false">F66-F68-F69</f>
        <v>-58452.7884314464</v>
      </c>
      <c r="G70" s="82" t="n">
        <f aca="false">G66-G68-G69</f>
        <v>-37374.8724020759</v>
      </c>
      <c r="H70" s="82" t="n">
        <f aca="false">H66-H68-H69</f>
        <v>-14165.6702342311</v>
      </c>
      <c r="I70" s="82" t="n">
        <f aca="false">I66-I68-I69</f>
        <v>-2453.16040360826</v>
      </c>
      <c r="J70" s="82" t="n">
        <f aca="false">J66-J68-J69</f>
        <v>-3585.78740059605</v>
      </c>
      <c r="K70" s="82" t="n">
        <f aca="false">K66-K68-K69</f>
        <v>15200.2005156284</v>
      </c>
      <c r="L70" s="82" t="n">
        <f aca="false">L66-L68-L69</f>
        <v>15560.6227592049</v>
      </c>
      <c r="M70" s="82" t="n">
        <f aca="false">M66-M68-M69</f>
        <v>21514.3797387284</v>
      </c>
      <c r="N70" s="82" t="n">
        <f aca="false">N66-N68-N69</f>
        <v>143497.921346372</v>
      </c>
      <c r="O70" s="82" t="n">
        <f aca="false">O66-O68-O69</f>
        <v>197033.788004139</v>
      </c>
      <c r="P70" s="82" t="n">
        <f aca="false">P66-P68-P69</f>
        <v>141854.707713618</v>
      </c>
      <c r="Q70" s="82" t="n">
        <f aca="false">Q66-Q68-Q69</f>
        <v>14297.9697274882</v>
      </c>
      <c r="R70" s="82" t="n">
        <f aca="false">R66-R68-R69</f>
        <v>17950.5544894199</v>
      </c>
      <c r="S70" s="82" t="n">
        <f aca="false">S66-S68-S69</f>
        <v>25255.7240132833</v>
      </c>
      <c r="T70" s="82" t="n">
        <f aca="false">T66-T68-T69</f>
        <v>28908.3087752151</v>
      </c>
      <c r="U70" s="82" t="n">
        <f aca="false">U66-U68-U69</f>
        <v>25255.7240132833</v>
      </c>
      <c r="V70" s="82" t="n">
        <f aca="false">V66-V68-V69</f>
        <v>14297.9697274882</v>
      </c>
      <c r="W70" s="82" t="n">
        <f aca="false">W66-W68-W69</f>
        <v>14297.9697274882</v>
      </c>
      <c r="X70" s="82" t="n">
        <f aca="false">X66-X68-X69</f>
        <v>14297.9697274882</v>
      </c>
      <c r="Y70" s="82" t="n">
        <f aca="false">Y66-Y68-Y69</f>
        <v>17950.5544894199</v>
      </c>
      <c r="Z70" s="82" t="n">
        <f aca="false">Z66-Z68-Z69</f>
        <v>97723.809894569</v>
      </c>
      <c r="AA70" s="82" t="n">
        <f aca="false">AA66-AA68-AA69</f>
        <v>192401.388625179</v>
      </c>
      <c r="AB70" s="82" t="n">
        <f aca="false">AB66-AB68-AB69</f>
        <v>154114.297834325</v>
      </c>
      <c r="AC70" s="82" t="n">
        <f aca="false">AC66-AC68-AC69</f>
        <v>19789.0967258893</v>
      </c>
      <c r="AD70" s="82" t="n">
        <f aca="false">AD66-AD68-AD69</f>
        <v>23767.923800221</v>
      </c>
      <c r="AE70" s="82" t="n">
        <f aca="false">AE66-AE68-AE69</f>
        <v>31725.5779488846</v>
      </c>
      <c r="AF70" s="82" t="n">
        <f aca="false">AF66-AF68-AF69</f>
        <v>35704.4050232165</v>
      </c>
      <c r="AG70" s="82" t="n">
        <f aca="false">AG66-AG68-AG69</f>
        <v>31725.5779488846</v>
      </c>
      <c r="AH70" s="82" t="n">
        <f aca="false">AH66-AH68-AH69</f>
        <v>19789.0967258893</v>
      </c>
      <c r="AI70" s="82" t="n">
        <f aca="false">AI66-AI68-AI69</f>
        <v>19789.0967258891</v>
      </c>
      <c r="AJ70" s="82" t="n">
        <f aca="false">AJ66-AJ68-AJ69</f>
        <v>19789.0967258893</v>
      </c>
      <c r="AK70" s="82" t="n">
        <f aca="false">AK66-AK68-AK69</f>
        <v>23767.9238002211</v>
      </c>
      <c r="AL70" s="82" t="n">
        <f aca="false">AL66-AL68-AL69</f>
        <v>110782.622689989</v>
      </c>
      <c r="AM70" s="79" t="n">
        <f aca="false">SUMIF($C$5:$AL$5,1,$C70:$AL70)</f>
        <v>-50222.2004963043</v>
      </c>
      <c r="AN70" s="79" t="n">
        <f aca="false">SUMIF($C$5:$AL$5,2,$C70:$AL70)</f>
        <v>609125.0503029</v>
      </c>
      <c r="AO70" s="79" t="n">
        <f aca="false">SUMIF($C$5:$AL$5,3,$C70:$AL70)</f>
        <v>683146.104574478</v>
      </c>
    </row>
    <row r="71" customFormat="false" ht="15" hidden="false" customHeight="true" outlineLevel="0" collapsed="false">
      <c r="A71" s="5" t="s">
        <v>842</v>
      </c>
      <c r="C71" s="20" t="n">
        <f aca="false">IFERROR(C70/C20,0)</f>
        <v>-0.312944322564314</v>
      </c>
      <c r="D71" s="20" t="n">
        <f aca="false">IFERROR(D70/D20,0)</f>
        <v>0.129355014568508</v>
      </c>
      <c r="E71" s="20" t="n">
        <f aca="false">IFERROR(E70/E20,0)</f>
        <v>-0.449706272409317</v>
      </c>
      <c r="F71" s="20" t="n">
        <f aca="false">IFERROR(F70/F20,0)</f>
        <v>-0.207947073790879</v>
      </c>
      <c r="G71" s="20" t="n">
        <f aca="false">IFERROR(G70/G20,0)</f>
        <v>-0.100963400062932</v>
      </c>
      <c r="H71" s="20" t="n">
        <f aca="false">IFERROR(H70/H20,0)</f>
        <v>-0.0306153149401812</v>
      </c>
      <c r="I71" s="20" t="n">
        <f aca="false">IFERROR(I70/I20,0)</f>
        <v>-0.00475184383550442</v>
      </c>
      <c r="J71" s="20" t="n">
        <f aca="false">IFERROR(J70/J20,0)</f>
        <v>-0.00691480985949273</v>
      </c>
      <c r="K71" s="20" t="n">
        <f aca="false">IFERROR(K70/K20,0)</f>
        <v>0.0315543803353438</v>
      </c>
      <c r="L71" s="20" t="n">
        <f aca="false">IFERROR(L70/L20,0)</f>
        <v>0.0322549432547569</v>
      </c>
      <c r="M71" s="20" t="n">
        <f aca="false">IFERROR(M70/M20,0)</f>
        <v>0.0425646539534495</v>
      </c>
      <c r="N71" s="20" t="n">
        <f aca="false">IFERROR(N70/N20,0)</f>
        <v>0.158286096377297</v>
      </c>
      <c r="O71" s="20" t="n">
        <f aca="false">IFERROR(O70/O20,0)</f>
        <v>0.155580144348923</v>
      </c>
      <c r="P71" s="20" t="n">
        <f aca="false">IFERROR(P70/P20,0)</f>
        <v>0.134413988154024</v>
      </c>
      <c r="Q71" s="20" t="n">
        <f aca="false">IFERROR(Q70/Q20,0)</f>
        <v>0.0276748090000315</v>
      </c>
      <c r="R71" s="20" t="n">
        <f aca="false">IFERROR(R70/R20,0)</f>
        <v>0.033177237389114</v>
      </c>
      <c r="S71" s="20" t="n">
        <f aca="false">IFERROR(S70/S20,0)</f>
        <v>0.0428159747992332</v>
      </c>
      <c r="T71" s="20" t="n">
        <f aca="false">IFERROR(T70/T20,0)</f>
        <v>0.047060849538055</v>
      </c>
      <c r="U71" s="20" t="n">
        <f aca="false">IFERROR(U70/U20,0)</f>
        <v>0.0428159747992332</v>
      </c>
      <c r="V71" s="20" t="n">
        <f aca="false">IFERROR(V70/V20,0)</f>
        <v>0.0276748090000315</v>
      </c>
      <c r="W71" s="20" t="n">
        <f aca="false">IFERROR(W70/W20,0)</f>
        <v>0.0276748090000315</v>
      </c>
      <c r="X71" s="20" t="n">
        <f aca="false">IFERROR(X70/X20,0)</f>
        <v>0.0276748090000315</v>
      </c>
      <c r="Y71" s="20" t="n">
        <f aca="false">IFERROR(Y70/Y20,0)</f>
        <v>0.033177237389114</v>
      </c>
      <c r="Z71" s="20" t="n">
        <f aca="false">IFERROR(Z70/Z20,0)</f>
        <v>0.0997857990130263</v>
      </c>
      <c r="AA71" s="20" t="n">
        <f aca="false">IFERROR(AA70/AA20,0)</f>
        <v>0.141316587721001</v>
      </c>
      <c r="AB71" s="20" t="n">
        <f aca="false">IFERROR(AB70/AB20,0)</f>
        <v>0.136336883185143</v>
      </c>
      <c r="AC71" s="20" t="n">
        <f aca="false">IFERROR(AC70/AC20,0)</f>
        <v>0.0357528531697699</v>
      </c>
      <c r="AD71" s="20" t="n">
        <f aca="false">IFERROR(AD70/AD20,0)</f>
        <v>0.0409644390345445</v>
      </c>
      <c r="AE71" s="20" t="n">
        <f aca="false">IFERROR(AE70/AE20,0)</f>
        <v>0.0500693978354111</v>
      </c>
      <c r="AF71" s="20" t="n">
        <f aca="false">IFERROR(AF70/AF20,0)</f>
        <v>0.0540694173790293</v>
      </c>
      <c r="AG71" s="20" t="n">
        <f aca="false">IFERROR(AG70/AG20,0)</f>
        <v>0.0500693978354111</v>
      </c>
      <c r="AH71" s="20" t="n">
        <f aca="false">IFERROR(AH70/AH20,0)</f>
        <v>0.03575285316977</v>
      </c>
      <c r="AI71" s="20" t="n">
        <f aca="false">IFERROR(AI70/AI20,0)</f>
        <v>0.0357528531697697</v>
      </c>
      <c r="AJ71" s="20" t="n">
        <f aca="false">IFERROR(AJ70/AJ20,0)</f>
        <v>0.03575285316977</v>
      </c>
      <c r="AK71" s="20" t="n">
        <f aca="false">IFERROR(AK70/AK20,0)</f>
        <v>0.0409644390345445</v>
      </c>
      <c r="AL71" s="20" t="n">
        <f aca="false">IFERROR(AL70/AL20,0)</f>
        <v>0.10457358323752</v>
      </c>
      <c r="AM71" s="80" t="n">
        <f aca="false">IFERROR(AM70/AM20,0)</f>
        <v>-0.00962489712294548</v>
      </c>
      <c r="AN71" s="80" t="n">
        <f aca="false">IFERROR(AN70/AN20,0)</f>
        <v>0.0738887268858901</v>
      </c>
      <c r="AO71" s="80" t="n">
        <f aca="false">IFERROR(AO70/AO20,0)</f>
        <v>0.0771631094240268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</cols>
  <sheetData>
    <row r="1" customFormat="false" ht="18" hidden="false" customHeight="true" outlineLevel="0" collapsed="false">
      <c r="A1" s="2" t="s">
        <v>843</v>
      </c>
    </row>
    <row r="2" customFormat="false" ht="15" hidden="false" customHeight="true" outlineLevel="0" collapsed="false">
      <c r="A2" s="3" t="s">
        <v>844</v>
      </c>
    </row>
    <row r="3" customFormat="false" ht="15" hidden="false" customHeight="true" outlineLevel="0" collapsed="false">
      <c r="A3" s="28" t="s">
        <v>750</v>
      </c>
      <c r="C3" s="75" t="n">
        <f aca="false">Volumen!C3</f>
        <v>1</v>
      </c>
      <c r="D3" s="75" t="n">
        <f aca="false">Volumen!D3</f>
        <v>2</v>
      </c>
      <c r="E3" s="75" t="n">
        <f aca="false">Volumen!E3</f>
        <v>3</v>
      </c>
      <c r="F3" s="75" t="n">
        <f aca="false">Volumen!F3</f>
        <v>4</v>
      </c>
      <c r="G3" s="75" t="n">
        <f aca="false">Volumen!G3</f>
        <v>5</v>
      </c>
      <c r="H3" s="75" t="n">
        <f aca="false">Volumen!H3</f>
        <v>6</v>
      </c>
      <c r="I3" s="75" t="n">
        <f aca="false">Volumen!I3</f>
        <v>7</v>
      </c>
      <c r="J3" s="75" t="n">
        <f aca="false">Volumen!J3</f>
        <v>8</v>
      </c>
      <c r="K3" s="75" t="n">
        <f aca="false">Volumen!K3</f>
        <v>9</v>
      </c>
      <c r="L3" s="75" t="n">
        <f aca="false">Volumen!L3</f>
        <v>10</v>
      </c>
      <c r="M3" s="75" t="n">
        <f aca="false">Volumen!M3</f>
        <v>11</v>
      </c>
      <c r="N3" s="75" t="n">
        <f aca="false">Volumen!N3</f>
        <v>12</v>
      </c>
      <c r="O3" s="75" t="n">
        <f aca="false">Volumen!O3</f>
        <v>13</v>
      </c>
      <c r="P3" s="75" t="n">
        <f aca="false">Volumen!P3</f>
        <v>14</v>
      </c>
      <c r="Q3" s="75" t="n">
        <f aca="false">Volumen!Q3</f>
        <v>15</v>
      </c>
      <c r="R3" s="75" t="n">
        <f aca="false">Volumen!R3</f>
        <v>16</v>
      </c>
      <c r="S3" s="75" t="n">
        <f aca="false">Volumen!S3</f>
        <v>17</v>
      </c>
      <c r="T3" s="75" t="n">
        <f aca="false">Volumen!T3</f>
        <v>18</v>
      </c>
      <c r="U3" s="75" t="n">
        <f aca="false">Volumen!U3</f>
        <v>19</v>
      </c>
      <c r="V3" s="75" t="n">
        <f aca="false">Volumen!V3</f>
        <v>20</v>
      </c>
      <c r="W3" s="75" t="n">
        <f aca="false">Volumen!W3</f>
        <v>21</v>
      </c>
      <c r="X3" s="75" t="n">
        <f aca="false">Volumen!X3</f>
        <v>22</v>
      </c>
      <c r="Y3" s="75" t="n">
        <f aca="false">Volumen!Y3</f>
        <v>23</v>
      </c>
      <c r="Z3" s="75" t="n">
        <f aca="false">Volumen!Z3</f>
        <v>24</v>
      </c>
      <c r="AA3" s="75" t="n">
        <f aca="false">Volumen!AA3</f>
        <v>25</v>
      </c>
      <c r="AB3" s="75" t="n">
        <f aca="false">Volumen!AB3</f>
        <v>26</v>
      </c>
      <c r="AC3" s="75" t="n">
        <f aca="false">Volumen!AC3</f>
        <v>27</v>
      </c>
      <c r="AD3" s="75" t="n">
        <f aca="false">Volumen!AD3</f>
        <v>28</v>
      </c>
      <c r="AE3" s="75" t="n">
        <f aca="false">Volumen!AE3</f>
        <v>29</v>
      </c>
      <c r="AF3" s="75" t="n">
        <f aca="false">Volumen!AF3</f>
        <v>30</v>
      </c>
      <c r="AG3" s="75" t="n">
        <f aca="false">Volumen!AG3</f>
        <v>31</v>
      </c>
      <c r="AH3" s="75" t="n">
        <f aca="false">Volumen!AH3</f>
        <v>32</v>
      </c>
      <c r="AI3" s="75" t="n">
        <f aca="false">Volumen!AI3</f>
        <v>33</v>
      </c>
      <c r="AJ3" s="75" t="n">
        <f aca="false">Volumen!AJ3</f>
        <v>34</v>
      </c>
      <c r="AK3" s="75" t="n">
        <f aca="false">Volumen!AK3</f>
        <v>35</v>
      </c>
      <c r="AL3" s="75" t="n">
        <f aca="false">Volumen!AL3</f>
        <v>36</v>
      </c>
    </row>
    <row r="4" customFormat="false" ht="15" hidden="false" customHeight="true" outlineLevel="0" collapsed="false">
      <c r="A4" s="28" t="s">
        <v>751</v>
      </c>
      <c r="C4" s="76" t="n">
        <f aca="false">Volumen!C4</f>
        <v>46327</v>
      </c>
      <c r="D4" s="76" t="n">
        <f aca="false">Volumen!D4</f>
        <v>46357</v>
      </c>
      <c r="E4" s="76" t="n">
        <f aca="false">Volumen!E4</f>
        <v>46388</v>
      </c>
      <c r="F4" s="76" t="n">
        <f aca="false">Volumen!F4</f>
        <v>46419</v>
      </c>
      <c r="G4" s="76" t="n">
        <f aca="false">Volumen!G4</f>
        <v>46447</v>
      </c>
      <c r="H4" s="76" t="n">
        <f aca="false">Volumen!H4</f>
        <v>46478</v>
      </c>
      <c r="I4" s="76" t="n">
        <f aca="false">Volumen!I4</f>
        <v>46508</v>
      </c>
      <c r="J4" s="76" t="n">
        <f aca="false">Volumen!J4</f>
        <v>46539</v>
      </c>
      <c r="K4" s="76" t="n">
        <f aca="false">Volumen!K4</f>
        <v>46569</v>
      </c>
      <c r="L4" s="76" t="n">
        <f aca="false">Volumen!L4</f>
        <v>46600</v>
      </c>
      <c r="M4" s="76" t="n">
        <f aca="false">Volumen!M4</f>
        <v>46631</v>
      </c>
      <c r="N4" s="76" t="n">
        <f aca="false">Volumen!N4</f>
        <v>46661</v>
      </c>
      <c r="O4" s="76" t="n">
        <f aca="false">Volumen!O4</f>
        <v>46692</v>
      </c>
      <c r="P4" s="76" t="n">
        <f aca="false">Volumen!P4</f>
        <v>46722</v>
      </c>
      <c r="Q4" s="76" t="n">
        <f aca="false">Volumen!Q4</f>
        <v>46753</v>
      </c>
      <c r="R4" s="76" t="n">
        <f aca="false">Volumen!R4</f>
        <v>46784</v>
      </c>
      <c r="S4" s="76" t="n">
        <f aca="false">Volumen!S4</f>
        <v>46813</v>
      </c>
      <c r="T4" s="76" t="n">
        <f aca="false">Volumen!T4</f>
        <v>46844</v>
      </c>
      <c r="U4" s="76" t="n">
        <f aca="false">Volumen!U4</f>
        <v>46874</v>
      </c>
      <c r="V4" s="76" t="n">
        <f aca="false">Volumen!V4</f>
        <v>46905</v>
      </c>
      <c r="W4" s="76" t="n">
        <f aca="false">Volumen!W4</f>
        <v>46935</v>
      </c>
      <c r="X4" s="76" t="n">
        <f aca="false">Volumen!X4</f>
        <v>46966</v>
      </c>
      <c r="Y4" s="76" t="n">
        <f aca="false">Volumen!Y4</f>
        <v>46997</v>
      </c>
      <c r="Z4" s="76" t="n">
        <f aca="false">Volumen!Z4</f>
        <v>47027</v>
      </c>
      <c r="AA4" s="76" t="n">
        <f aca="false">Volumen!AA4</f>
        <v>47058</v>
      </c>
      <c r="AB4" s="76" t="n">
        <f aca="false">Volumen!AB4</f>
        <v>47088</v>
      </c>
      <c r="AC4" s="76" t="n">
        <f aca="false">Volumen!AC4</f>
        <v>47119</v>
      </c>
      <c r="AD4" s="76" t="n">
        <f aca="false">Volumen!AD4</f>
        <v>47150</v>
      </c>
      <c r="AE4" s="76" t="n">
        <f aca="false">Volumen!AE4</f>
        <v>47178</v>
      </c>
      <c r="AF4" s="76" t="n">
        <f aca="false">Volumen!AF4</f>
        <v>47209</v>
      </c>
      <c r="AG4" s="76" t="n">
        <f aca="false">Volumen!AG4</f>
        <v>47239</v>
      </c>
      <c r="AH4" s="76" t="n">
        <f aca="false">Volumen!AH4</f>
        <v>47270</v>
      </c>
      <c r="AI4" s="76" t="n">
        <f aca="false">Volumen!AI4</f>
        <v>47300</v>
      </c>
      <c r="AJ4" s="76" t="n">
        <f aca="false">Volumen!AJ4</f>
        <v>47331</v>
      </c>
      <c r="AK4" s="76" t="n">
        <f aca="false">Volumen!AK4</f>
        <v>47362</v>
      </c>
      <c r="AL4" s="76" t="n">
        <f aca="false">Volumen!AL4</f>
        <v>47392</v>
      </c>
    </row>
    <row r="6" customFormat="false" ht="15" hidden="false" customHeight="true" outlineLevel="0" collapsed="false">
      <c r="A6" s="5" t="s">
        <v>65</v>
      </c>
      <c r="C6" s="19" t="n">
        <f aca="false">Resultados!C70</f>
        <v>-77862.8878120968</v>
      </c>
      <c r="D6" s="19" t="n">
        <f aca="false">Resultados!D70</f>
        <v>32982.9816984238</v>
      </c>
      <c r="E6" s="19" t="n">
        <f aca="false">Resultados!E70</f>
        <v>-85083.1398706071</v>
      </c>
      <c r="F6" s="19" t="n">
        <f aca="false">Resultados!F70</f>
        <v>-58452.7884314464</v>
      </c>
      <c r="G6" s="19" t="n">
        <f aca="false">Resultados!G70</f>
        <v>-37374.8724020759</v>
      </c>
      <c r="H6" s="19" t="n">
        <f aca="false">Resultados!H70</f>
        <v>-14165.6702342311</v>
      </c>
      <c r="I6" s="19" t="n">
        <f aca="false">Resultados!I70</f>
        <v>-2453.16040360826</v>
      </c>
      <c r="J6" s="19" t="n">
        <f aca="false">Resultados!J70</f>
        <v>-3585.78740059605</v>
      </c>
      <c r="K6" s="19" t="n">
        <f aca="false">Resultados!K70</f>
        <v>15200.2005156284</v>
      </c>
      <c r="L6" s="19" t="n">
        <f aca="false">Resultados!L70</f>
        <v>15560.6227592049</v>
      </c>
      <c r="M6" s="19" t="n">
        <f aca="false">Resultados!M70</f>
        <v>21514.3797387284</v>
      </c>
      <c r="N6" s="19" t="n">
        <f aca="false">Resultados!N70</f>
        <v>143497.921346372</v>
      </c>
      <c r="O6" s="19" t="n">
        <f aca="false">Resultados!O70</f>
        <v>197033.788004139</v>
      </c>
      <c r="P6" s="19" t="n">
        <f aca="false">Resultados!P70</f>
        <v>141854.707713618</v>
      </c>
      <c r="Q6" s="19" t="n">
        <f aca="false">Resultados!Q70</f>
        <v>14297.9697274882</v>
      </c>
      <c r="R6" s="19" t="n">
        <f aca="false">Resultados!R70</f>
        <v>17950.5544894199</v>
      </c>
      <c r="S6" s="19" t="n">
        <f aca="false">Resultados!S70</f>
        <v>25255.7240132833</v>
      </c>
      <c r="T6" s="19" t="n">
        <f aca="false">Resultados!T70</f>
        <v>28908.3087752151</v>
      </c>
      <c r="U6" s="19" t="n">
        <f aca="false">Resultados!U70</f>
        <v>25255.7240132833</v>
      </c>
      <c r="V6" s="19" t="n">
        <f aca="false">Resultados!V70</f>
        <v>14297.9697274882</v>
      </c>
      <c r="W6" s="19" t="n">
        <f aca="false">Resultados!W70</f>
        <v>14297.9697274882</v>
      </c>
      <c r="X6" s="19" t="n">
        <f aca="false">Resultados!X70</f>
        <v>14297.9697274882</v>
      </c>
      <c r="Y6" s="19" t="n">
        <f aca="false">Resultados!Y70</f>
        <v>17950.5544894199</v>
      </c>
      <c r="Z6" s="19" t="n">
        <f aca="false">Resultados!Z70</f>
        <v>97723.809894569</v>
      </c>
      <c r="AA6" s="19" t="n">
        <f aca="false">Resultados!AA70</f>
        <v>192401.388625179</v>
      </c>
      <c r="AB6" s="19" t="n">
        <f aca="false">Resultados!AB70</f>
        <v>154114.297834325</v>
      </c>
      <c r="AC6" s="19" t="n">
        <f aca="false">Resultados!AC70</f>
        <v>19789.0967258893</v>
      </c>
      <c r="AD6" s="19" t="n">
        <f aca="false">Resultados!AD70</f>
        <v>23767.923800221</v>
      </c>
      <c r="AE6" s="19" t="n">
        <f aca="false">Resultados!AE70</f>
        <v>31725.5779488846</v>
      </c>
      <c r="AF6" s="19" t="n">
        <f aca="false">Resultados!AF70</f>
        <v>35704.4050232165</v>
      </c>
      <c r="AG6" s="19" t="n">
        <f aca="false">Resultados!AG70</f>
        <v>31725.5779488846</v>
      </c>
      <c r="AH6" s="19" t="n">
        <f aca="false">Resultados!AH70</f>
        <v>19789.0967258893</v>
      </c>
      <c r="AI6" s="19" t="n">
        <f aca="false">Resultados!AI70</f>
        <v>19789.0967258891</v>
      </c>
      <c r="AJ6" s="19" t="n">
        <f aca="false">Resultados!AJ70</f>
        <v>19789.0967258893</v>
      </c>
      <c r="AK6" s="19" t="n">
        <f aca="false">Resultados!AK70</f>
        <v>23767.9238002211</v>
      </c>
      <c r="AL6" s="19" t="n">
        <f aca="false">Resultados!AL70</f>
        <v>110782.622689989</v>
      </c>
    </row>
    <row r="7" customFormat="false" ht="15" hidden="false" customHeight="true" outlineLevel="0" collapsed="false">
      <c r="A7" s="5" t="s">
        <v>845</v>
      </c>
      <c r="C7" s="19" t="n">
        <f aca="false">Resultados!C65</f>
        <v>452.083333333333</v>
      </c>
      <c r="D7" s="19" t="n">
        <f aca="false">Resultados!D65</f>
        <v>452.083333333333</v>
      </c>
      <c r="E7" s="19" t="n">
        <f aca="false">Resultados!E65</f>
        <v>452.083333333333</v>
      </c>
      <c r="F7" s="19" t="n">
        <f aca="false">Resultados!F65</f>
        <v>452.083333333333</v>
      </c>
      <c r="G7" s="19" t="n">
        <f aca="false">Resultados!G65</f>
        <v>452.083333333333</v>
      </c>
      <c r="H7" s="19" t="n">
        <f aca="false">Resultados!H65</f>
        <v>452.083333333333</v>
      </c>
      <c r="I7" s="19" t="n">
        <f aca="false">Resultados!I65</f>
        <v>452.083333333333</v>
      </c>
      <c r="J7" s="19" t="n">
        <f aca="false">Resultados!J65</f>
        <v>452.083333333333</v>
      </c>
      <c r="K7" s="19" t="n">
        <f aca="false">Resultados!K65</f>
        <v>452.083333333333</v>
      </c>
      <c r="L7" s="19" t="n">
        <f aca="false">Resultados!L65</f>
        <v>452.083333333333</v>
      </c>
      <c r="M7" s="19" t="n">
        <f aca="false">Resultados!M65</f>
        <v>452.083333333333</v>
      </c>
      <c r="N7" s="19" t="n">
        <f aca="false">Resultados!N65</f>
        <v>452.083333333333</v>
      </c>
      <c r="O7" s="19" t="n">
        <f aca="false">Resultados!O65</f>
        <v>452.083333333333</v>
      </c>
      <c r="P7" s="19" t="n">
        <f aca="false">Resultados!P65</f>
        <v>452.083333333333</v>
      </c>
      <c r="Q7" s="19" t="n">
        <f aca="false">Resultados!Q65</f>
        <v>452.083333333333</v>
      </c>
      <c r="R7" s="19" t="n">
        <f aca="false">Resultados!R65</f>
        <v>452.083333333333</v>
      </c>
      <c r="S7" s="19" t="n">
        <f aca="false">Resultados!S65</f>
        <v>452.083333333333</v>
      </c>
      <c r="T7" s="19" t="n">
        <f aca="false">Resultados!T65</f>
        <v>452.083333333333</v>
      </c>
      <c r="U7" s="19" t="n">
        <f aca="false">Resultados!U65</f>
        <v>452.083333333333</v>
      </c>
      <c r="V7" s="19" t="n">
        <f aca="false">Resultados!V65</f>
        <v>452.083333333333</v>
      </c>
      <c r="W7" s="19" t="n">
        <f aca="false">Resultados!W65</f>
        <v>452.083333333333</v>
      </c>
      <c r="X7" s="19" t="n">
        <f aca="false">Resultados!X65</f>
        <v>452.083333333333</v>
      </c>
      <c r="Y7" s="19" t="n">
        <f aca="false">Resultados!Y65</f>
        <v>452.083333333333</v>
      </c>
      <c r="Z7" s="19" t="n">
        <f aca="false">Resultados!Z65</f>
        <v>452.083333333333</v>
      </c>
      <c r="AA7" s="19" t="n">
        <f aca="false">Resultados!AA65</f>
        <v>0</v>
      </c>
      <c r="AB7" s="19" t="n">
        <f aca="false">Resultados!AB65</f>
        <v>0</v>
      </c>
      <c r="AC7" s="19" t="n">
        <f aca="false">Resultados!AC65</f>
        <v>0</v>
      </c>
      <c r="AD7" s="19" t="n">
        <f aca="false">Resultados!AD65</f>
        <v>0</v>
      </c>
      <c r="AE7" s="19" t="n">
        <f aca="false">Resultados!AE65</f>
        <v>0</v>
      </c>
      <c r="AF7" s="19" t="n">
        <f aca="false">Resultados!AF65</f>
        <v>0</v>
      </c>
      <c r="AG7" s="19" t="n">
        <f aca="false">Resultados!AG65</f>
        <v>0</v>
      </c>
      <c r="AH7" s="19" t="n">
        <f aca="false">Resultados!AH65</f>
        <v>0</v>
      </c>
      <c r="AI7" s="19" t="n">
        <f aca="false">Resultados!AI65</f>
        <v>0</v>
      </c>
      <c r="AJ7" s="19" t="n">
        <f aca="false">Resultados!AJ65</f>
        <v>0</v>
      </c>
      <c r="AK7" s="19" t="n">
        <f aca="false">Resultados!AK65</f>
        <v>0</v>
      </c>
      <c r="AL7" s="19" t="n">
        <f aca="false">Resultados!AL65</f>
        <v>0</v>
      </c>
    </row>
    <row r="8" customFormat="false" ht="15" hidden="false" customHeight="true" outlineLevel="0" collapsed="false">
      <c r="A8" s="5" t="s">
        <v>846</v>
      </c>
      <c r="C8" s="19" t="n">
        <f aca="false">-(IF(C$3=1,capex_n1,0)+IF(C$3=mes_planta,capex_n2,0))</f>
        <v>-10850</v>
      </c>
      <c r="D8" s="19" t="n">
        <f aca="false">-(IF(D$3=1,capex_n1,0)+IF(D$3=mes_planta,capex_n2,0))</f>
        <v>-0</v>
      </c>
      <c r="E8" s="19" t="n">
        <f aca="false">-(IF(E$3=1,capex_n1,0)+IF(E$3=mes_planta,capex_n2,0))</f>
        <v>-0</v>
      </c>
      <c r="F8" s="19" t="n">
        <f aca="false">-(IF(F$3=1,capex_n1,0)+IF(F$3=mes_planta,capex_n2,0))</f>
        <v>-0</v>
      </c>
      <c r="G8" s="19" t="n">
        <f aca="false">-(IF(G$3=1,capex_n1,0)+IF(G$3=mes_planta,capex_n2,0))</f>
        <v>-0</v>
      </c>
      <c r="H8" s="19" t="n">
        <f aca="false">-(IF(H$3=1,capex_n1,0)+IF(H$3=mes_planta,capex_n2,0))</f>
        <v>-0</v>
      </c>
      <c r="I8" s="19" t="n">
        <f aca="false">-(IF(I$3=1,capex_n1,0)+IF(I$3=mes_planta,capex_n2,0))</f>
        <v>-0</v>
      </c>
      <c r="J8" s="19" t="n">
        <f aca="false">-(IF(J$3=1,capex_n1,0)+IF(J$3=mes_planta,capex_n2,0))</f>
        <v>-0</v>
      </c>
      <c r="K8" s="19" t="n">
        <f aca="false">-(IF(K$3=1,capex_n1,0)+IF(K$3=mes_planta,capex_n2,0))</f>
        <v>-0</v>
      </c>
      <c r="L8" s="19" t="n">
        <f aca="false">-(IF(L$3=1,capex_n1,0)+IF(L$3=mes_planta,capex_n2,0))</f>
        <v>-0</v>
      </c>
      <c r="M8" s="19" t="n">
        <f aca="false">-(IF(M$3=1,capex_n1,0)+IF(M$3=mes_planta,capex_n2,0))</f>
        <v>-0</v>
      </c>
      <c r="N8" s="19" t="n">
        <f aca="false">-(IF(N$3=1,capex_n1,0)+IF(N$3=mes_planta,capex_n2,0))</f>
        <v>-0</v>
      </c>
      <c r="O8" s="19" t="n">
        <f aca="false">-(IF(O$3=1,capex_n1,0)+IF(O$3=mes_planta,capex_n2,0))</f>
        <v>-0</v>
      </c>
      <c r="P8" s="19" t="n">
        <f aca="false">-(IF(P$3=1,capex_n1,0)+IF(P$3=mes_planta,capex_n2,0))</f>
        <v>-0</v>
      </c>
      <c r="Q8" s="19" t="n">
        <f aca="false">-(IF(Q$3=1,capex_n1,0)+IF(Q$3=mes_planta,capex_n2,0))</f>
        <v>-0</v>
      </c>
      <c r="R8" s="19" t="n">
        <f aca="false">-(IF(R$3=1,capex_n1,0)+IF(R$3=mes_planta,capex_n2,0))</f>
        <v>-0</v>
      </c>
      <c r="S8" s="19" t="n">
        <f aca="false">-(IF(S$3=1,capex_n1,0)+IF(S$3=mes_planta,capex_n2,0))</f>
        <v>-0</v>
      </c>
      <c r="T8" s="19" t="n">
        <f aca="false">-(IF(T$3=1,capex_n1,0)+IF(T$3=mes_planta,capex_n2,0))</f>
        <v>-0</v>
      </c>
      <c r="U8" s="19" t="n">
        <f aca="false">-(IF(U$3=1,capex_n1,0)+IF(U$3=mes_planta,capex_n2,0))</f>
        <v>-0</v>
      </c>
      <c r="V8" s="19" t="n">
        <f aca="false">-(IF(V$3=1,capex_n1,0)+IF(V$3=mes_planta,capex_n2,0))</f>
        <v>-0</v>
      </c>
      <c r="W8" s="19" t="n">
        <f aca="false">-(IF(W$3=1,capex_n1,0)+IF(W$3=mes_planta,capex_n2,0))</f>
        <v>-0</v>
      </c>
      <c r="X8" s="19" t="n">
        <f aca="false">-(IF(X$3=1,capex_n1,0)+IF(X$3=mes_planta,capex_n2,0))</f>
        <v>-0</v>
      </c>
      <c r="Y8" s="19" t="n">
        <f aca="false">-(IF(Y$3=1,capex_n1,0)+IF(Y$3=mes_planta,capex_n2,0))</f>
        <v>-0</v>
      </c>
      <c r="Z8" s="19" t="n">
        <f aca="false">-(IF(Z$3=1,capex_n1,0)+IF(Z$3=mes_planta,capex_n2,0))</f>
        <v>-0</v>
      </c>
      <c r="AA8" s="19" t="n">
        <f aca="false">-(IF(AA$3=1,capex_n1,0)+IF(AA$3=mes_planta,capex_n2,0))</f>
        <v>-0</v>
      </c>
      <c r="AB8" s="19" t="n">
        <f aca="false">-(IF(AB$3=1,capex_n1,0)+IF(AB$3=mes_planta,capex_n2,0))</f>
        <v>-0</v>
      </c>
      <c r="AC8" s="19" t="n">
        <f aca="false">-(IF(AC$3=1,capex_n1,0)+IF(AC$3=mes_planta,capex_n2,0))</f>
        <v>-0</v>
      </c>
      <c r="AD8" s="19" t="n">
        <f aca="false">-(IF(AD$3=1,capex_n1,0)+IF(AD$3=mes_planta,capex_n2,0))</f>
        <v>-0</v>
      </c>
      <c r="AE8" s="19" t="n">
        <f aca="false">-(IF(AE$3=1,capex_n1,0)+IF(AE$3=mes_planta,capex_n2,0))</f>
        <v>-0</v>
      </c>
      <c r="AF8" s="19" t="n">
        <f aca="false">-(IF(AF$3=1,capex_n1,0)+IF(AF$3=mes_planta,capex_n2,0))</f>
        <v>-0</v>
      </c>
      <c r="AG8" s="19" t="n">
        <f aca="false">-(IF(AG$3=1,capex_n1,0)+IF(AG$3=mes_planta,capex_n2,0))</f>
        <v>-0</v>
      </c>
      <c r="AH8" s="19" t="n">
        <f aca="false">-(IF(AH$3=1,capex_n1,0)+IF(AH$3=mes_planta,capex_n2,0))</f>
        <v>-0</v>
      </c>
      <c r="AI8" s="19" t="n">
        <f aca="false">-(IF(AI$3=1,capex_n1,0)+IF(AI$3=mes_planta,capex_n2,0))</f>
        <v>-0</v>
      </c>
      <c r="AJ8" s="19" t="n">
        <f aca="false">-(IF(AJ$3=1,capex_n1,0)+IF(AJ$3=mes_planta,capex_n2,0))</f>
        <v>-0</v>
      </c>
      <c r="AK8" s="19" t="n">
        <f aca="false">-(IF(AK$3=1,capex_n1,0)+IF(AK$3=mes_planta,capex_n2,0))</f>
        <v>-0</v>
      </c>
      <c r="AL8" s="19" t="n">
        <f aca="false">-(IF(AL$3=1,capex_n1,0)+IF(AL$3=mes_planta,capex_n2,0))</f>
        <v>-0</v>
      </c>
    </row>
    <row r="10" customFormat="false" ht="15" hidden="false" customHeight="true" outlineLevel="0" collapsed="false">
      <c r="A10" s="5" t="s">
        <v>847</v>
      </c>
      <c r="C10" s="19" t="n">
        <f aca="false">SUM(Resultados!C8:C11)*dias_cobro_dist/30+SUM(Resultados!C12:C19)*dias_cobro_dir/30</f>
        <v>184410.926788578</v>
      </c>
      <c r="D10" s="19" t="n">
        <f aca="false">SUM(Resultados!D8:D11)*dias_cobro_dist/30+SUM(Resultados!D12:D19)*dias_cobro_dir/30</f>
        <v>161597.679485991</v>
      </c>
      <c r="E10" s="19" t="n">
        <f aca="false">SUM(Resultados!E8:E11)*dias_cobro_dist/30+SUM(Resultados!E12:E19)*dias_cobro_dir/30</f>
        <v>159692.482463533</v>
      </c>
      <c r="F10" s="19" t="n">
        <f aca="false">SUM(Resultados!F8:F11)*dias_cobro_dist/30+SUM(Resultados!F12:F19)*dias_cobro_dir/30</f>
        <v>234957.628036118</v>
      </c>
      <c r="G10" s="19" t="n">
        <f aca="false">SUM(Resultados!G8:G11)*dias_cobro_dist/30+SUM(Resultados!G12:G19)*dias_cobro_dir/30</f>
        <v>317717.623538283</v>
      </c>
      <c r="H10" s="19" t="n">
        <f aca="false">SUM(Resultados!H8:H11)*dias_cobro_dist/30+SUM(Resultados!H12:H19)*dias_cobro_dir/30</f>
        <v>401144.902162322</v>
      </c>
      <c r="I10" s="19" t="n">
        <f aca="false">SUM(Resultados!I8:I11)*dias_cobro_dist/30+SUM(Resultados!I12:I19)*dias_cobro_dir/30</f>
        <v>450433.541044336</v>
      </c>
      <c r="J10" s="19" t="n">
        <f aca="false">SUM(Resultados!J8:J11)*dias_cobro_dist/30+SUM(Resultados!J12:J19)*dias_cobro_dir/30</f>
        <v>450018.957893268</v>
      </c>
      <c r="K10" s="19" t="n">
        <f aca="false">SUM(Resultados!K8:K11)*dias_cobro_dist/30+SUM(Resultados!K12:K19)*dias_cobro_dir/30</f>
        <v>408379.740490422</v>
      </c>
      <c r="L10" s="19" t="n">
        <f aca="false">SUM(Resultados!L8:L11)*dias_cobro_dist/30+SUM(Resultados!L12:L19)*dias_cobro_dir/30</f>
        <v>408735.514984127</v>
      </c>
      <c r="M10" s="19" t="n">
        <f aca="false">SUM(Resultados!M8:M11)*dias_cobro_dist/30+SUM(Resultados!M12:M19)*dias_cobro_dir/30</f>
        <v>430718.566017703</v>
      </c>
      <c r="N10" s="19" t="n">
        <f aca="false">SUM(Resultados!N8:N11)*dias_cobro_dist/30+SUM(Resultados!N12:N19)*dias_cobro_dir/30</f>
        <v>817100.158667488</v>
      </c>
      <c r="O10" s="19" t="n">
        <f aca="false">SUM(Resultados!O8:O11)*dias_cobro_dist/30+SUM(Resultados!O12:O19)*dias_cobro_dir/30</f>
        <v>1108454.30468667</v>
      </c>
      <c r="P10" s="19" t="n">
        <f aca="false">SUM(Resultados!P8:P11)*dias_cobro_dist/30+SUM(Resultados!P12:P19)*dias_cobro_dir/30</f>
        <v>902861.137677186</v>
      </c>
      <c r="Q10" s="19" t="n">
        <f aca="false">SUM(Resultados!Q8:Q11)*dias_cobro_dist/30+SUM(Resultados!Q12:Q19)*dias_cobro_dir/30</f>
        <v>442595.794010591</v>
      </c>
      <c r="R10" s="19" t="n">
        <f aca="false">SUM(Resultados!R8:R11)*dias_cobro_dist/30+SUM(Resultados!R12:R19)*dias_cobro_dir/30</f>
        <v>466317.102083759</v>
      </c>
      <c r="S10" s="19" t="n">
        <f aca="false">SUM(Resultados!S8:S11)*dias_cobro_dist/30+SUM(Resultados!S12:S19)*dias_cobro_dir/30</f>
        <v>513759.718230095</v>
      </c>
      <c r="T10" s="19" t="n">
        <f aca="false">SUM(Resultados!T8:T11)*dias_cobro_dist/30+SUM(Resultados!T12:T19)*dias_cobro_dir/30</f>
        <v>537481.026303264</v>
      </c>
      <c r="U10" s="19" t="n">
        <f aca="false">SUM(Resultados!U8:U11)*dias_cobro_dist/30+SUM(Resultados!U12:U19)*dias_cobro_dir/30</f>
        <v>513759.718230095</v>
      </c>
      <c r="V10" s="19" t="n">
        <f aca="false">SUM(Resultados!V8:V11)*dias_cobro_dist/30+SUM(Resultados!V12:V19)*dias_cobro_dir/30</f>
        <v>442595.794010591</v>
      </c>
      <c r="W10" s="19" t="n">
        <f aca="false">SUM(Resultados!W8:W11)*dias_cobro_dist/30+SUM(Resultados!W12:W19)*dias_cobro_dir/30</f>
        <v>442595.794010591</v>
      </c>
      <c r="X10" s="19" t="n">
        <f aca="false">SUM(Resultados!X8:X11)*dias_cobro_dist/30+SUM(Resultados!X12:X19)*dias_cobro_dir/30</f>
        <v>442595.794010591</v>
      </c>
      <c r="Y10" s="19" t="n">
        <f aca="false">SUM(Resultados!Y8:Y11)*dias_cobro_dist/30+SUM(Resultados!Y12:Y19)*dias_cobro_dir/30</f>
        <v>466317.102083759</v>
      </c>
      <c r="Z10" s="19" t="n">
        <f aca="false">SUM(Resultados!Z8:Z11)*dias_cobro_dist/30+SUM(Resultados!Z12:Z19)*dias_cobro_dir/30</f>
        <v>889862.877705419</v>
      </c>
      <c r="AA10" s="19" t="n">
        <f aca="false">SUM(Resultados!AA8:AA11)*dias_cobro_dist/30+SUM(Resultados!AA12:AA19)*dias_cobro_dir/30</f>
        <v>1203500.60642997</v>
      </c>
      <c r="AB10" s="19" t="n">
        <f aca="false">SUM(Resultados!AB8:AB11)*dias_cobro_dist/30+SUM(Resultados!AB12:AB19)*dias_cobro_dir/30</f>
        <v>977897.691685053</v>
      </c>
      <c r="AC10" s="19" t="n">
        <f aca="false">SUM(Resultados!AC8:AC11)*dias_cobro_dist/30+SUM(Resultados!AC12:AC19)*dias_cobro_dir/30</f>
        <v>479450.748996626</v>
      </c>
      <c r="AD10" s="19" t="n">
        <f aca="false">SUM(Resultados!AD8:AD11)*dias_cobro_dist/30+SUM(Resultados!AD12:AD19)*dias_cobro_dir/30</f>
        <v>505475.491756421</v>
      </c>
      <c r="AE10" s="19" t="n">
        <f aca="false">SUM(Resultados!AE8:AE11)*dias_cobro_dist/30+SUM(Resultados!AE12:AE19)*dias_cobro_dir/30</f>
        <v>557524.977276012</v>
      </c>
      <c r="AF10" s="19" t="n">
        <f aca="false">SUM(Resultados!AF8:AF11)*dias_cobro_dist/30+SUM(Resultados!AF12:AF19)*dias_cobro_dir/30</f>
        <v>583549.720035807</v>
      </c>
      <c r="AG10" s="19" t="n">
        <f aca="false">SUM(Resultados!AG8:AG11)*dias_cobro_dist/30+SUM(Resultados!AG12:AG19)*dias_cobro_dir/30</f>
        <v>557524.977276012</v>
      </c>
      <c r="AH10" s="19" t="n">
        <f aca="false">SUM(Resultados!AH8:AH11)*dias_cobro_dist/30+SUM(Resultados!AH12:AH19)*dias_cobro_dir/30</f>
        <v>479450.748996626</v>
      </c>
      <c r="AI10" s="19" t="n">
        <f aca="false">SUM(Resultados!AI8:AI11)*dias_cobro_dist/30+SUM(Resultados!AI12:AI19)*dias_cobro_dir/30</f>
        <v>479450.748996626</v>
      </c>
      <c r="AJ10" s="19" t="n">
        <f aca="false">SUM(Resultados!AJ8:AJ11)*dias_cobro_dist/30+SUM(Resultados!AJ12:AJ19)*dias_cobro_dir/30</f>
        <v>479450.748996626</v>
      </c>
      <c r="AK10" s="19" t="n">
        <f aca="false">SUM(Resultados!AK8:AK11)*dias_cobro_dist/30+SUM(Resultados!AK12:AK19)*dias_cobro_dir/30</f>
        <v>505475.491756421</v>
      </c>
      <c r="AL10" s="19" t="n">
        <f aca="false">SUM(Resultados!AL8:AL11)*dias_cobro_dist/30+SUM(Resultados!AL12:AL19)*dias_cobro_dir/30</f>
        <v>969901.868647143</v>
      </c>
    </row>
    <row r="11" customFormat="false" ht="15" hidden="false" customHeight="true" outlineLevel="0" collapsed="false">
      <c r="A11" s="5" t="s">
        <v>848</v>
      </c>
      <c r="C11" s="19" t="n">
        <f aca="false">Resultados!C31*dias_inv/30</f>
        <v>74613.3273920323</v>
      </c>
      <c r="D11" s="19" t="n">
        <f aca="false">Resultados!D31*dias_inv/30</f>
        <v>69171.7334612122</v>
      </c>
      <c r="E11" s="19" t="n">
        <f aca="false">Resultados!E31*dias_inv/30</f>
        <v>78976.3065102198</v>
      </c>
      <c r="F11" s="19" t="n">
        <f aca="false">Resultados!F31*dias_inv/30</f>
        <v>116006.121067799</v>
      </c>
      <c r="G11" s="19" t="n">
        <f aca="false">Resultados!G31*dias_inv/30</f>
        <v>155585.509957646</v>
      </c>
      <c r="H11" s="19" t="n">
        <f aca="false">Resultados!H31*dias_inv/30</f>
        <v>195759.066573108</v>
      </c>
      <c r="I11" s="19" t="n">
        <f aca="false">Resultados!I31*dias_inv/30</f>
        <v>219050.971347188</v>
      </c>
      <c r="J11" s="19" t="n">
        <f aca="false">Resultados!J31*dias_inv/30</f>
        <v>218318.102952391</v>
      </c>
      <c r="K11" s="19" t="n">
        <f aca="false">Resultados!K31*dias_inv/30</f>
        <v>197993.775500138</v>
      </c>
      <c r="L11" s="19" t="n">
        <f aca="false">Resultados!L31*dias_inv/30</f>
        <v>198197.026206573</v>
      </c>
      <c r="M11" s="19" t="n">
        <f aca="false">Resultados!M31*dias_inv/30</f>
        <v>208858.599656853</v>
      </c>
      <c r="N11" s="19" t="n">
        <f aca="false">Resultados!N31*dias_inv/30</f>
        <v>382935.085526033</v>
      </c>
      <c r="O11" s="19" t="n">
        <f aca="false">Resultados!O31*dias_inv/30</f>
        <v>507292.408565668</v>
      </c>
      <c r="P11" s="19" t="n">
        <f aca="false">Resultados!P31*dias_inv/30</f>
        <v>411957.801305388</v>
      </c>
      <c r="Q11" s="19" t="n">
        <f aca="false">Resultados!Q31*dias_inv/30</f>
        <v>214493.59330316</v>
      </c>
      <c r="R11" s="19" t="n">
        <f aca="false">Resultados!R31*dias_inv/30</f>
        <v>225957.74832139</v>
      </c>
      <c r="S11" s="19" t="n">
        <f aca="false">Resultados!S31*dias_inv/30</f>
        <v>248886.058357848</v>
      </c>
      <c r="T11" s="19" t="n">
        <f aca="false">Resultados!T31*dias_inv/30</f>
        <v>260350.213376078</v>
      </c>
      <c r="U11" s="19" t="n">
        <f aca="false">Resultados!U31*dias_inv/30</f>
        <v>248886.058357848</v>
      </c>
      <c r="V11" s="19" t="n">
        <f aca="false">Resultados!V31*dias_inv/30</f>
        <v>214493.59330316</v>
      </c>
      <c r="W11" s="19" t="n">
        <f aca="false">Resultados!W31*dias_inv/30</f>
        <v>214493.59330316</v>
      </c>
      <c r="X11" s="19" t="n">
        <f aca="false">Resultados!X31*dias_inv/30</f>
        <v>214493.59330316</v>
      </c>
      <c r="Y11" s="19" t="n">
        <f aca="false">Resultados!Y31*dias_inv/30</f>
        <v>225957.74832139</v>
      </c>
      <c r="Z11" s="19" t="n">
        <f aca="false">Resultados!Z31*dias_inv/30</f>
        <v>416438.579075225</v>
      </c>
      <c r="AA11" s="19" t="n">
        <f aca="false">Resultados!AA31*dias_inv/30</f>
        <v>551056.347014301</v>
      </c>
      <c r="AB11" s="19" t="n">
        <f aca="false">Resultados!AB31*dias_inv/30</f>
        <v>446508.279027994</v>
      </c>
      <c r="AC11" s="19" t="n">
        <f aca="false">Resultados!AC31*dias_inv/30</f>
        <v>232196.241332327</v>
      </c>
      <c r="AD11" s="19" t="n">
        <f aca="false">Resultados!AD31*dias_inv/30</f>
        <v>244766.81185238</v>
      </c>
      <c r="AE11" s="19" t="n">
        <f aca="false">Resultados!AE31*dias_inv/30</f>
        <v>269907.952892484</v>
      </c>
      <c r="AF11" s="19" t="n">
        <f aca="false">Resultados!AF31*dias_inv/30</f>
        <v>282478.523412537</v>
      </c>
      <c r="AG11" s="19" t="n">
        <f aca="false">Resultados!AG31*dias_inv/30</f>
        <v>269907.952892484</v>
      </c>
      <c r="AH11" s="19" t="n">
        <f aca="false">Resultados!AH31*dias_inv/30</f>
        <v>232196.241332327</v>
      </c>
      <c r="AI11" s="19" t="n">
        <f aca="false">Resultados!AI31*dias_inv/30</f>
        <v>232196.241332327</v>
      </c>
      <c r="AJ11" s="19" t="n">
        <f aca="false">Resultados!AJ31*dias_inv/30</f>
        <v>232196.241332327</v>
      </c>
      <c r="AK11" s="19" t="n">
        <f aca="false">Resultados!AK31*dias_inv/30</f>
        <v>244766.81185238</v>
      </c>
      <c r="AL11" s="19" t="n">
        <f aca="false">Resultados!AL31*dias_inv/30</f>
        <v>453292.421979337</v>
      </c>
    </row>
    <row r="12" customFormat="false" ht="15" hidden="false" customHeight="true" outlineLevel="0" collapsed="false">
      <c r="A12" s="5" t="s">
        <v>849</v>
      </c>
      <c r="C12" s="19" t="n">
        <f aca="false">Resultados!C31*dias_pago/30</f>
        <v>111919.991088048</v>
      </c>
      <c r="D12" s="19" t="n">
        <f aca="false">Resultados!D31*dias_pago/30</f>
        <v>103757.600191818</v>
      </c>
      <c r="E12" s="19" t="n">
        <f aca="false">Resultados!E31*dias_pago/30</f>
        <v>118464.45976533</v>
      </c>
      <c r="F12" s="19" t="n">
        <f aca="false">Resultados!F31*dias_pago/30</f>
        <v>174009.181601698</v>
      </c>
      <c r="G12" s="19" t="n">
        <f aca="false">Resultados!G31*dias_pago/30</f>
        <v>233378.264936468</v>
      </c>
      <c r="H12" s="19" t="n">
        <f aca="false">Resultados!H31*dias_pago/30</f>
        <v>293638.599859662</v>
      </c>
      <c r="I12" s="19" t="n">
        <f aca="false">Resultados!I31*dias_pago/30</f>
        <v>328576.457020781</v>
      </c>
      <c r="J12" s="19" t="n">
        <f aca="false">Resultados!J31*dias_pago/30</f>
        <v>327477.154428586</v>
      </c>
      <c r="K12" s="19" t="n">
        <f aca="false">Resultados!K31*dias_pago/30</f>
        <v>296990.663250207</v>
      </c>
      <c r="L12" s="19" t="n">
        <f aca="false">Resultados!L31*dias_pago/30</f>
        <v>297295.53930986</v>
      </c>
      <c r="M12" s="19" t="n">
        <f aca="false">Resultados!M31*dias_pago/30</f>
        <v>313287.89948528</v>
      </c>
      <c r="N12" s="19" t="n">
        <f aca="false">Resultados!N31*dias_pago/30</f>
        <v>574402.628289049</v>
      </c>
      <c r="O12" s="19" t="n">
        <f aca="false">Resultados!O31*dias_pago/30</f>
        <v>760938.612848503</v>
      </c>
      <c r="P12" s="19" t="n">
        <f aca="false">Resultados!P31*dias_pago/30</f>
        <v>617936.701958083</v>
      </c>
      <c r="Q12" s="19" t="n">
        <f aca="false">Resultados!Q31*dias_pago/30</f>
        <v>321740.38995474</v>
      </c>
      <c r="R12" s="19" t="n">
        <f aca="false">Resultados!R31*dias_pago/30</f>
        <v>338936.622482084</v>
      </c>
      <c r="S12" s="19" t="n">
        <f aca="false">Resultados!S31*dias_pago/30</f>
        <v>373329.087536773</v>
      </c>
      <c r="T12" s="19" t="n">
        <f aca="false">Resultados!T31*dias_pago/30</f>
        <v>390525.320064117</v>
      </c>
      <c r="U12" s="19" t="n">
        <f aca="false">Resultados!U31*dias_pago/30</f>
        <v>373329.087536773</v>
      </c>
      <c r="V12" s="19" t="n">
        <f aca="false">Resultados!V31*dias_pago/30</f>
        <v>321740.38995474</v>
      </c>
      <c r="W12" s="19" t="n">
        <f aca="false">Resultados!W31*dias_pago/30</f>
        <v>321740.38995474</v>
      </c>
      <c r="X12" s="19" t="n">
        <f aca="false">Resultados!X31*dias_pago/30</f>
        <v>321740.38995474</v>
      </c>
      <c r="Y12" s="19" t="n">
        <f aca="false">Resultados!Y31*dias_pago/30</f>
        <v>338936.622482084</v>
      </c>
      <c r="Z12" s="19" t="n">
        <f aca="false">Resultados!Z31*dias_pago/30</f>
        <v>624657.868612838</v>
      </c>
      <c r="AA12" s="19" t="n">
        <f aca="false">Resultados!AA31*dias_pago/30</f>
        <v>826584.520521452</v>
      </c>
      <c r="AB12" s="19" t="n">
        <f aca="false">Resultados!AB31*dias_pago/30</f>
        <v>669762.41854199</v>
      </c>
      <c r="AC12" s="19" t="n">
        <f aca="false">Resultados!AC31*dias_pago/30</f>
        <v>348294.361998491</v>
      </c>
      <c r="AD12" s="19" t="n">
        <f aca="false">Resultados!AD31*dias_pago/30</f>
        <v>367150.21777857</v>
      </c>
      <c r="AE12" s="19" t="n">
        <f aca="false">Resultados!AE31*dias_pago/30</f>
        <v>404861.929338727</v>
      </c>
      <c r="AF12" s="19" t="n">
        <f aca="false">Resultados!AF31*dias_pago/30</f>
        <v>423717.785118805</v>
      </c>
      <c r="AG12" s="19" t="n">
        <f aca="false">Resultados!AG31*dias_pago/30</f>
        <v>404861.929338727</v>
      </c>
      <c r="AH12" s="19" t="n">
        <f aca="false">Resultados!AH31*dias_pago/30</f>
        <v>348294.361998491</v>
      </c>
      <c r="AI12" s="19" t="n">
        <f aca="false">Resultados!AI31*dias_pago/30</f>
        <v>348294.361998491</v>
      </c>
      <c r="AJ12" s="19" t="n">
        <f aca="false">Resultados!AJ31*dias_pago/30</f>
        <v>348294.361998491</v>
      </c>
      <c r="AK12" s="19" t="n">
        <f aca="false">Resultados!AK31*dias_pago/30</f>
        <v>367150.21777857</v>
      </c>
      <c r="AL12" s="19" t="n">
        <f aca="false">Resultados!AL31*dias_pago/30</f>
        <v>679938.632969006</v>
      </c>
    </row>
    <row r="13" customFormat="false" ht="15" hidden="false" customHeight="true" outlineLevel="0" collapsed="false">
      <c r="A13" s="21" t="s">
        <v>850</v>
      </c>
      <c r="C13" s="23" t="n">
        <f aca="false">C10+C11-C12</f>
        <v>147104.263092561</v>
      </c>
      <c r="D13" s="23" t="n">
        <f aca="false">D10+D11-D12</f>
        <v>127011.812755385</v>
      </c>
      <c r="E13" s="23" t="n">
        <f aca="false">E10+E11-E12</f>
        <v>120204.329208423</v>
      </c>
      <c r="F13" s="23" t="n">
        <f aca="false">F10+F11-F12</f>
        <v>176954.567502219</v>
      </c>
      <c r="G13" s="23" t="n">
        <f aca="false">G10+G11-G12</f>
        <v>239924.86855946</v>
      </c>
      <c r="H13" s="23" t="n">
        <f aca="false">H10+H11-H12</f>
        <v>303265.368875768</v>
      </c>
      <c r="I13" s="23" t="n">
        <f aca="false">I10+I11-I12</f>
        <v>340908.055370742</v>
      </c>
      <c r="J13" s="23" t="n">
        <f aca="false">J10+J11-J12</f>
        <v>340859.906417072</v>
      </c>
      <c r="K13" s="23" t="n">
        <f aca="false">K10+K11-K12</f>
        <v>309382.852740352</v>
      </c>
      <c r="L13" s="23" t="n">
        <f aca="false">L10+L11-L12</f>
        <v>309637.00188084</v>
      </c>
      <c r="M13" s="23" t="n">
        <f aca="false">M10+M11-M12</f>
        <v>326289.266189277</v>
      </c>
      <c r="N13" s="23" t="n">
        <f aca="false">N10+N11-N12</f>
        <v>625632.615904471</v>
      </c>
      <c r="O13" s="23" t="n">
        <f aca="false">O10+O11-O12</f>
        <v>854808.100403835</v>
      </c>
      <c r="P13" s="23" t="n">
        <f aca="false">P10+P11-P12</f>
        <v>696882.237024492</v>
      </c>
      <c r="Q13" s="23" t="n">
        <f aca="false">Q10+Q11-Q12</f>
        <v>335348.997359011</v>
      </c>
      <c r="R13" s="23" t="n">
        <f aca="false">R10+R11-R12</f>
        <v>353338.227923064</v>
      </c>
      <c r="S13" s="23" t="n">
        <f aca="false">S10+S11-S12</f>
        <v>389316.689051171</v>
      </c>
      <c r="T13" s="23" t="n">
        <f aca="false">T10+T11-T12</f>
        <v>407305.919615225</v>
      </c>
      <c r="U13" s="23" t="n">
        <f aca="false">U10+U11-U12</f>
        <v>389316.689051171</v>
      </c>
      <c r="V13" s="23" t="n">
        <f aca="false">V10+V11-V12</f>
        <v>335348.997359011</v>
      </c>
      <c r="W13" s="23" t="n">
        <f aca="false">W10+W11-W12</f>
        <v>335348.997359011</v>
      </c>
      <c r="X13" s="23" t="n">
        <f aca="false">X10+X11-X12</f>
        <v>335348.997359011</v>
      </c>
      <c r="Y13" s="23" t="n">
        <f aca="false">Y10+Y11-Y12</f>
        <v>353338.227923064</v>
      </c>
      <c r="Z13" s="23" t="n">
        <f aca="false">Z10+Z11-Z12</f>
        <v>681643.588167806</v>
      </c>
      <c r="AA13" s="23" t="n">
        <f aca="false">AA10+AA11-AA12</f>
        <v>927972.432922815</v>
      </c>
      <c r="AB13" s="23" t="n">
        <f aca="false">AB10+AB11-AB12</f>
        <v>754643.552171056</v>
      </c>
      <c r="AC13" s="23" t="n">
        <f aca="false">AC10+AC11-AC12</f>
        <v>363352.628330462</v>
      </c>
      <c r="AD13" s="23" t="n">
        <f aca="false">AD10+AD11-AD12</f>
        <v>383092.085830231</v>
      </c>
      <c r="AE13" s="23" t="n">
        <f aca="false">AE10+AE11-AE12</f>
        <v>422571.000829769</v>
      </c>
      <c r="AF13" s="23" t="n">
        <f aca="false">AF10+AF11-AF12</f>
        <v>442310.458329538</v>
      </c>
      <c r="AG13" s="23" t="n">
        <f aca="false">AG10+AG11-AG12</f>
        <v>422571.000829769</v>
      </c>
      <c r="AH13" s="23" t="n">
        <f aca="false">AH10+AH11-AH12</f>
        <v>363352.628330462</v>
      </c>
      <c r="AI13" s="23" t="n">
        <f aca="false">AI10+AI11-AI12</f>
        <v>363352.628330462</v>
      </c>
      <c r="AJ13" s="23" t="n">
        <f aca="false">AJ10+AJ11-AJ12</f>
        <v>363352.628330462</v>
      </c>
      <c r="AK13" s="23" t="n">
        <f aca="false">AK10+AK11-AK12</f>
        <v>383092.085830231</v>
      </c>
      <c r="AL13" s="23" t="n">
        <f aca="false">AL10+AL11-AL12</f>
        <v>743255.657657474</v>
      </c>
    </row>
    <row r="14" customFormat="false" ht="15" hidden="false" customHeight="true" outlineLevel="0" collapsed="false">
      <c r="A14" s="5" t="s">
        <v>851</v>
      </c>
      <c r="C14" s="19" t="n">
        <f aca="false">-C13</f>
        <v>-147104.263092561</v>
      </c>
      <c r="D14" s="19" t="n">
        <f aca="false">-(D13-C13)</f>
        <v>20092.4503371762</v>
      </c>
      <c r="E14" s="19" t="n">
        <f aca="false">-(E13-D13)</f>
        <v>6807.48354696205</v>
      </c>
      <c r="F14" s="19" t="n">
        <f aca="false">-(F13-E13)</f>
        <v>-56750.2382937954</v>
      </c>
      <c r="G14" s="19" t="n">
        <f aca="false">-(G13-F13)</f>
        <v>-62970.3010572411</v>
      </c>
      <c r="H14" s="19" t="n">
        <f aca="false">-(H13-G13)</f>
        <v>-63340.5003163084</v>
      </c>
      <c r="I14" s="19" t="n">
        <f aca="false">-(I13-H13)</f>
        <v>-37642.6864949739</v>
      </c>
      <c r="J14" s="19" t="n">
        <f aca="false">-(J13-I13)</f>
        <v>48.1489536698209</v>
      </c>
      <c r="K14" s="19" t="n">
        <f aca="false">-(K13-J13)</f>
        <v>31477.0536767199</v>
      </c>
      <c r="L14" s="19" t="n">
        <f aca="false">-(L13-K13)</f>
        <v>-254.149140487949</v>
      </c>
      <c r="M14" s="19" t="n">
        <f aca="false">-(M13-L13)</f>
        <v>-16652.2643084363</v>
      </c>
      <c r="N14" s="19" t="n">
        <f aca="false">-(N13-M13)</f>
        <v>-299343.349715195</v>
      </c>
      <c r="O14" s="19" t="n">
        <f aca="false">-(O13-N13)</f>
        <v>-229175.484499363</v>
      </c>
      <c r="P14" s="19" t="n">
        <f aca="false">-(P13-O13)</f>
        <v>157925.863379343</v>
      </c>
      <c r="Q14" s="19" t="n">
        <f aca="false">-(Q13-P13)</f>
        <v>361533.23966548</v>
      </c>
      <c r="R14" s="19" t="n">
        <f aca="false">-(R13-Q13)</f>
        <v>-17989.2305640533</v>
      </c>
      <c r="S14" s="19" t="n">
        <f aca="false">-(S13-R13)</f>
        <v>-35978.4611281068</v>
      </c>
      <c r="T14" s="19" t="n">
        <f aca="false">-(T13-S13)</f>
        <v>-17989.2305640535</v>
      </c>
      <c r="U14" s="19" t="n">
        <f aca="false">-(U13-T13)</f>
        <v>17989.2305640535</v>
      </c>
      <c r="V14" s="19" t="n">
        <f aca="false">-(V13-U13)</f>
        <v>53967.6916921601</v>
      </c>
      <c r="W14" s="19" t="n">
        <f aca="false">-(W13-V13)</f>
        <v>-0</v>
      </c>
      <c r="X14" s="19" t="n">
        <f aca="false">-(X13-W13)</f>
        <v>-0</v>
      </c>
      <c r="Y14" s="19" t="n">
        <f aca="false">-(Y13-X13)</f>
        <v>-17989.2305640533</v>
      </c>
      <c r="Z14" s="19" t="n">
        <f aca="false">-(Z13-Y13)</f>
        <v>-328305.360244742</v>
      </c>
      <c r="AA14" s="19" t="n">
        <f aca="false">-(AA13-Z13)</f>
        <v>-246328.844755009</v>
      </c>
      <c r="AB14" s="19" t="n">
        <f aca="false">-(AB13-AA13)</f>
        <v>173328.88075176</v>
      </c>
      <c r="AC14" s="19" t="n">
        <f aca="false">-(AC13-AB13)</f>
        <v>391290.923840594</v>
      </c>
      <c r="AD14" s="19" t="n">
        <f aca="false">-(AD13-AC13)</f>
        <v>-19739.457499769</v>
      </c>
      <c r="AE14" s="19" t="n">
        <f aca="false">-(AE13-AD13)</f>
        <v>-39478.9149995382</v>
      </c>
      <c r="AF14" s="19" t="n">
        <f aca="false">-(AF13-AE13)</f>
        <v>-19739.4574997691</v>
      </c>
      <c r="AG14" s="19" t="n">
        <f aca="false">-(AG13-AF13)</f>
        <v>19739.4574997691</v>
      </c>
      <c r="AH14" s="19" t="n">
        <f aca="false">-(AH13-AG13)</f>
        <v>59218.3724993072</v>
      </c>
      <c r="AI14" s="19" t="n">
        <f aca="false">-(AI13-AH13)</f>
        <v>-0</v>
      </c>
      <c r="AJ14" s="19" t="n">
        <f aca="false">-(AJ13-AI13)</f>
        <v>-0</v>
      </c>
      <c r="AK14" s="19" t="n">
        <f aca="false">-(AK13-AJ13)</f>
        <v>-19739.457499769</v>
      </c>
      <c r="AL14" s="19" t="n">
        <f aca="false">-(AL13-AK13)</f>
        <v>-360163.571827243</v>
      </c>
    </row>
    <row r="16" customFormat="false" ht="15" hidden="false" customHeight="true" outlineLevel="0" collapsed="false">
      <c r="A16" s="81" t="s">
        <v>852</v>
      </c>
      <c r="C16" s="82" t="n">
        <f aca="false">C6+C7+C8+C14</f>
        <v>-235365.067571325</v>
      </c>
      <c r="D16" s="82" t="n">
        <f aca="false">D6+D7+D8+D14</f>
        <v>53527.5153689334</v>
      </c>
      <c r="E16" s="82" t="n">
        <f aca="false">E6+E7+E8+E14</f>
        <v>-77823.5729903117</v>
      </c>
      <c r="F16" s="82" t="n">
        <f aca="false">F6+F7+F8+F14</f>
        <v>-114750.943391909</v>
      </c>
      <c r="G16" s="82" t="n">
        <f aca="false">G6+G7+G8+G14</f>
        <v>-99893.0901259837</v>
      </c>
      <c r="H16" s="82" t="n">
        <f aca="false">H6+H7+H8+H14</f>
        <v>-77054.0872172062</v>
      </c>
      <c r="I16" s="82" t="n">
        <f aca="false">I6+I7+I8+I14</f>
        <v>-39643.7635652488</v>
      </c>
      <c r="J16" s="82" t="n">
        <f aca="false">J6+J7+J8+J14</f>
        <v>-3085.5551135929</v>
      </c>
      <c r="K16" s="82" t="n">
        <f aca="false">K6+K7+K8+K14</f>
        <v>47129.3375256816</v>
      </c>
      <c r="L16" s="82" t="n">
        <f aca="false">L6+L7+L8+L14</f>
        <v>15758.5569520503</v>
      </c>
      <c r="M16" s="82" t="n">
        <f aca="false">M6+M7+M8+M14</f>
        <v>5314.19876362542</v>
      </c>
      <c r="N16" s="82" t="n">
        <f aca="false">N6+N7+N8+N14</f>
        <v>-155393.34503549</v>
      </c>
      <c r="O16" s="82" t="n">
        <f aca="false">O6+O7+O8+O14</f>
        <v>-31689.6131618905</v>
      </c>
      <c r="P16" s="82" t="n">
        <f aca="false">P6+P7+P8+P14</f>
        <v>300232.654426294</v>
      </c>
      <c r="Q16" s="82" t="n">
        <f aca="false">Q6+Q7+Q8+Q14</f>
        <v>376283.292726302</v>
      </c>
      <c r="R16" s="82" t="n">
        <f aca="false">R6+R7+R8+R14</f>
        <v>413.407258699946</v>
      </c>
      <c r="S16" s="82" t="n">
        <f aca="false">S6+S7+S8+S14</f>
        <v>-10270.6537814901</v>
      </c>
      <c r="T16" s="82" t="n">
        <f aca="false">T6+T7+T8+T14</f>
        <v>11371.1615444949</v>
      </c>
      <c r="U16" s="82" t="n">
        <f aca="false">U6+U7+U8+U14</f>
        <v>43697.0379106701</v>
      </c>
      <c r="V16" s="82" t="n">
        <f aca="false">V6+V7+V8+V14</f>
        <v>68717.7447529816</v>
      </c>
      <c r="W16" s="82" t="n">
        <f aca="false">W6+W7+W8+W14</f>
        <v>14750.0530608215</v>
      </c>
      <c r="X16" s="82" t="n">
        <f aca="false">X6+X7+X8+X14</f>
        <v>14750.0530608215</v>
      </c>
      <c r="Y16" s="82" t="n">
        <f aca="false">Y6+Y7+Y8+Y14</f>
        <v>413.407258699939</v>
      </c>
      <c r="Z16" s="82" t="n">
        <f aca="false">Z6+Z7+Z8+Z14</f>
        <v>-230129.467016839</v>
      </c>
      <c r="AA16" s="82" t="n">
        <f aca="false">AA6+AA7+AA8+AA14</f>
        <v>-53927.4561298301</v>
      </c>
      <c r="AB16" s="82" t="n">
        <f aca="false">AB6+AB7+AB8+AB14</f>
        <v>327443.178586084</v>
      </c>
      <c r="AC16" s="82" t="n">
        <f aca="false">AC6+AC7+AC8+AC14</f>
        <v>411080.020566483</v>
      </c>
      <c r="AD16" s="82" t="n">
        <f aca="false">AD6+AD7+AD8+AD14</f>
        <v>4028.46630045206</v>
      </c>
      <c r="AE16" s="82" t="n">
        <f aca="false">AE6+AE7+AE8+AE14</f>
        <v>-7753.33705065354</v>
      </c>
      <c r="AF16" s="82" t="n">
        <f aca="false">AF6+AF7+AF8+AF14</f>
        <v>15964.9475234474</v>
      </c>
      <c r="AG16" s="82" t="n">
        <f aca="false">AG6+AG7+AG8+AG14</f>
        <v>51465.0354486537</v>
      </c>
      <c r="AH16" s="82" t="n">
        <f aca="false">AH6+AH7+AH8+AH14</f>
        <v>79007.4692251964</v>
      </c>
      <c r="AI16" s="82" t="n">
        <f aca="false">AI6+AI7+AI8+AI14</f>
        <v>19789.0967258891</v>
      </c>
      <c r="AJ16" s="82" t="n">
        <f aca="false">AJ6+AJ7+AJ8+AJ14</f>
        <v>19789.0967258893</v>
      </c>
      <c r="AK16" s="82" t="n">
        <f aca="false">AK6+AK7+AK8+AK14</f>
        <v>4028.46630045208</v>
      </c>
      <c r="AL16" s="82" t="n">
        <f aca="false">AL6+AL7+AL8+AL14</f>
        <v>-249380.949137254</v>
      </c>
    </row>
    <row r="17" customFormat="false" ht="15" hidden="false" customHeight="true" outlineLevel="0" collapsed="false">
      <c r="A17" s="21" t="s">
        <v>853</v>
      </c>
      <c r="C17" s="23" t="n">
        <f aca="false">C16</f>
        <v>-235365.067571325</v>
      </c>
      <c r="D17" s="23" t="n">
        <f aca="false">C17+D16</f>
        <v>-181837.552202392</v>
      </c>
      <c r="E17" s="23" t="n">
        <f aca="false">D17+E16</f>
        <v>-259661.125192703</v>
      </c>
      <c r="F17" s="23" t="n">
        <f aca="false">E17+F16</f>
        <v>-374412.068584612</v>
      </c>
      <c r="G17" s="23" t="n">
        <f aca="false">F17+G16</f>
        <v>-474305.158710596</v>
      </c>
      <c r="H17" s="23" t="n">
        <f aca="false">G17+H16</f>
        <v>-551359.245927802</v>
      </c>
      <c r="I17" s="23" t="n">
        <f aca="false">H17+I16</f>
        <v>-591003.009493051</v>
      </c>
      <c r="J17" s="23" t="n">
        <f aca="false">I17+J16</f>
        <v>-594088.564606644</v>
      </c>
      <c r="K17" s="23" t="n">
        <f aca="false">J17+K16</f>
        <v>-546959.227080962</v>
      </c>
      <c r="L17" s="23" t="n">
        <f aca="false">K17+L16</f>
        <v>-531200.670128912</v>
      </c>
      <c r="M17" s="23" t="n">
        <f aca="false">L17+M16</f>
        <v>-525886.471365286</v>
      </c>
      <c r="N17" s="23" t="n">
        <f aca="false">M17+N16</f>
        <v>-681279.816400776</v>
      </c>
      <c r="O17" s="23" t="n">
        <f aca="false">N17+O16</f>
        <v>-712969.429562666</v>
      </c>
      <c r="P17" s="23" t="n">
        <f aca="false">O17+P16</f>
        <v>-412736.775136372</v>
      </c>
      <c r="Q17" s="23" t="n">
        <f aca="false">P17+Q16</f>
        <v>-36453.48241007</v>
      </c>
      <c r="R17" s="23" t="n">
        <f aca="false">Q17+R16</f>
        <v>-36040.0751513701</v>
      </c>
      <c r="S17" s="23" t="n">
        <f aca="false">R17+S16</f>
        <v>-46310.7289328602</v>
      </c>
      <c r="T17" s="23" t="n">
        <f aca="false">S17+T16</f>
        <v>-34939.5673883653</v>
      </c>
      <c r="U17" s="23" t="n">
        <f aca="false">T17+U16</f>
        <v>8757.47052230485</v>
      </c>
      <c r="V17" s="23" t="n">
        <f aca="false">U17+V16</f>
        <v>77475.2152752864</v>
      </c>
      <c r="W17" s="23" t="n">
        <f aca="false">V17+W16</f>
        <v>92225.2683361079</v>
      </c>
      <c r="X17" s="23" t="n">
        <f aca="false">W17+X16</f>
        <v>106975.321396929</v>
      </c>
      <c r="Y17" s="23" t="n">
        <f aca="false">X17+Y16</f>
        <v>107388.728655629</v>
      </c>
      <c r="Z17" s="23" t="n">
        <f aca="false">Y17+Z16</f>
        <v>-122740.73836121</v>
      </c>
      <c r="AA17" s="23" t="n">
        <f aca="false">Z17+AA16</f>
        <v>-176668.19449104</v>
      </c>
      <c r="AB17" s="23" t="n">
        <f aca="false">AA17+AB16</f>
        <v>150774.984095044</v>
      </c>
      <c r="AC17" s="23" t="n">
        <f aca="false">AB17+AC16</f>
        <v>561855.004661527</v>
      </c>
      <c r="AD17" s="23" t="n">
        <f aca="false">AC17+AD16</f>
        <v>565883.470961979</v>
      </c>
      <c r="AE17" s="23" t="n">
        <f aca="false">AD17+AE16</f>
        <v>558130.133911326</v>
      </c>
      <c r="AF17" s="23" t="n">
        <f aca="false">AE17+AF16</f>
        <v>574095.081434773</v>
      </c>
      <c r="AG17" s="23" t="n">
        <f aca="false">AF17+AG16</f>
        <v>625560.116883427</v>
      </c>
      <c r="AH17" s="23" t="n">
        <f aca="false">AG17+AH16</f>
        <v>704567.586108623</v>
      </c>
      <c r="AI17" s="23" t="n">
        <f aca="false">AH17+AI16</f>
        <v>724356.682834512</v>
      </c>
      <c r="AJ17" s="23" t="n">
        <f aca="false">AI17+AJ16</f>
        <v>744145.779560402</v>
      </c>
      <c r="AK17" s="23" t="n">
        <f aca="false">AJ17+AK16</f>
        <v>748174.245860854</v>
      </c>
      <c r="AL17" s="23" t="n">
        <f aca="false">AK17+AL16</f>
        <v>498793.2967236</v>
      </c>
    </row>
    <row r="18" customFormat="false" ht="15" hidden="false" customHeight="true" outlineLevel="0" collapsed="false">
      <c r="A18" s="5" t="s">
        <v>854</v>
      </c>
      <c r="C18" s="22" t="n">
        <f aca="false">IF(AND(C17&gt;=0,MIN($C17:C17)&lt;0),C$3,999)</f>
        <v>999</v>
      </c>
      <c r="D18" s="22" t="n">
        <f aca="false">IF(AND(D17&gt;=0,MIN($C17:D17)&lt;0),D$3,999)</f>
        <v>999</v>
      </c>
      <c r="E18" s="22" t="n">
        <f aca="false">IF(AND(E17&gt;=0,MIN($C17:E17)&lt;0),E$3,999)</f>
        <v>999</v>
      </c>
      <c r="F18" s="22" t="n">
        <f aca="false">IF(AND(F17&gt;=0,MIN($C17:F17)&lt;0),F$3,999)</f>
        <v>999</v>
      </c>
      <c r="G18" s="22" t="n">
        <f aca="false">IF(AND(G17&gt;=0,MIN($C17:G17)&lt;0),G$3,999)</f>
        <v>999</v>
      </c>
      <c r="H18" s="22" t="n">
        <f aca="false">IF(AND(H17&gt;=0,MIN($C17:H17)&lt;0),H$3,999)</f>
        <v>999</v>
      </c>
      <c r="I18" s="22" t="n">
        <f aca="false">IF(AND(I17&gt;=0,MIN($C17:I17)&lt;0),I$3,999)</f>
        <v>999</v>
      </c>
      <c r="J18" s="22" t="n">
        <f aca="false">IF(AND(J17&gt;=0,MIN($C17:J17)&lt;0),J$3,999)</f>
        <v>999</v>
      </c>
      <c r="K18" s="22" t="n">
        <f aca="false">IF(AND(K17&gt;=0,MIN($C17:K17)&lt;0),K$3,999)</f>
        <v>999</v>
      </c>
      <c r="L18" s="22" t="n">
        <f aca="false">IF(AND(L17&gt;=0,MIN($C17:L17)&lt;0),L$3,999)</f>
        <v>999</v>
      </c>
      <c r="M18" s="22" t="n">
        <f aca="false">IF(AND(M17&gt;=0,MIN($C17:M17)&lt;0),M$3,999)</f>
        <v>999</v>
      </c>
      <c r="N18" s="22" t="n">
        <f aca="false">IF(AND(N17&gt;=0,MIN($C17:N17)&lt;0),N$3,999)</f>
        <v>999</v>
      </c>
      <c r="O18" s="22" t="n">
        <f aca="false">IF(AND(O17&gt;=0,MIN($C17:O17)&lt;0),O$3,999)</f>
        <v>999</v>
      </c>
      <c r="P18" s="22" t="n">
        <f aca="false">IF(AND(P17&gt;=0,MIN($C17:P17)&lt;0),P$3,999)</f>
        <v>999</v>
      </c>
      <c r="Q18" s="22" t="n">
        <f aca="false">IF(AND(Q17&gt;=0,MIN($C17:Q17)&lt;0),Q$3,999)</f>
        <v>999</v>
      </c>
      <c r="R18" s="22" t="n">
        <f aca="false">IF(AND(R17&gt;=0,MIN($C17:R17)&lt;0),R$3,999)</f>
        <v>999</v>
      </c>
      <c r="S18" s="22" t="n">
        <f aca="false">IF(AND(S17&gt;=0,MIN($C17:S17)&lt;0),S$3,999)</f>
        <v>999</v>
      </c>
      <c r="T18" s="22" t="n">
        <f aca="false">IF(AND(T17&gt;=0,MIN($C17:T17)&lt;0),T$3,999)</f>
        <v>999</v>
      </c>
      <c r="U18" s="22" t="n">
        <f aca="false">IF(AND(U17&gt;=0,MIN($C17:U17)&lt;0),U$3,999)</f>
        <v>19</v>
      </c>
      <c r="V18" s="22" t="n">
        <f aca="false">IF(AND(V17&gt;=0,MIN($C17:V17)&lt;0),V$3,999)</f>
        <v>20</v>
      </c>
      <c r="W18" s="22" t="n">
        <f aca="false">IF(AND(W17&gt;=0,MIN($C17:W17)&lt;0),W$3,999)</f>
        <v>21</v>
      </c>
      <c r="X18" s="22" t="n">
        <f aca="false">IF(AND(X17&gt;=0,MIN($C17:X17)&lt;0),X$3,999)</f>
        <v>22</v>
      </c>
      <c r="Y18" s="22" t="n">
        <f aca="false">IF(AND(Y17&gt;=0,MIN($C17:Y17)&lt;0),Y$3,999)</f>
        <v>23</v>
      </c>
      <c r="Z18" s="22" t="n">
        <f aca="false">IF(AND(Z17&gt;=0,MIN($C17:Z17)&lt;0),Z$3,999)</f>
        <v>999</v>
      </c>
      <c r="AA18" s="22" t="n">
        <f aca="false">IF(AND(AA17&gt;=0,MIN($C17:AA17)&lt;0),AA$3,999)</f>
        <v>999</v>
      </c>
      <c r="AB18" s="22" t="n">
        <f aca="false">IF(AND(AB17&gt;=0,MIN($C17:AB17)&lt;0),AB$3,999)</f>
        <v>26</v>
      </c>
      <c r="AC18" s="22" t="n">
        <f aca="false">IF(AND(AC17&gt;=0,MIN($C17:AC17)&lt;0),AC$3,999)</f>
        <v>27</v>
      </c>
      <c r="AD18" s="22" t="n">
        <f aca="false">IF(AND(AD17&gt;=0,MIN($C17:AD17)&lt;0),AD$3,999)</f>
        <v>28</v>
      </c>
      <c r="AE18" s="22" t="n">
        <f aca="false">IF(AND(AE17&gt;=0,MIN($C17:AE17)&lt;0),AE$3,999)</f>
        <v>29</v>
      </c>
      <c r="AF18" s="22" t="n">
        <f aca="false">IF(AND(AF17&gt;=0,MIN($C17:AF17)&lt;0),AF$3,999)</f>
        <v>30</v>
      </c>
      <c r="AG18" s="22" t="n">
        <f aca="false">IF(AND(AG17&gt;=0,MIN($C17:AG17)&lt;0),AG$3,999)</f>
        <v>31</v>
      </c>
      <c r="AH18" s="22" t="n">
        <f aca="false">IF(AND(AH17&gt;=0,MIN($C17:AH17)&lt;0),AH$3,999)</f>
        <v>32</v>
      </c>
      <c r="AI18" s="22" t="n">
        <f aca="false">IF(AND(AI17&gt;=0,MIN($C17:AI17)&lt;0),AI$3,999)</f>
        <v>33</v>
      </c>
      <c r="AJ18" s="22" t="n">
        <f aca="false">IF(AND(AJ17&gt;=0,MIN($C17:AJ17)&lt;0),AJ$3,999)</f>
        <v>34</v>
      </c>
      <c r="AK18" s="22" t="n">
        <f aca="false">IF(AND(AK17&gt;=0,MIN($C17:AK17)&lt;0),AK$3,999)</f>
        <v>35</v>
      </c>
      <c r="AL18" s="22" t="n">
        <f aca="false">IF(AND(AL17&gt;=0,MIN($C17:AL17)&lt;0),AL$3,999)</f>
        <v>36</v>
      </c>
    </row>
    <row r="20" customFormat="false" ht="15" hidden="false" customHeight="true" outlineLevel="0" collapsed="false">
      <c r="A20" s="81" t="s">
        <v>855</v>
      </c>
      <c r="B20" s="81"/>
      <c r="C20" s="82" t="n">
        <f aca="false">MAX(0,-MIN(C17:AL17))+caja_minima</f>
        <v>762969.429562666</v>
      </c>
    </row>
    <row r="21" customFormat="false" ht="15" hidden="false" customHeight="true" outlineLevel="0" collapsed="false">
      <c r="A21" s="81" t="s">
        <v>856</v>
      </c>
      <c r="B21" s="81"/>
      <c r="C21" s="83" t="n">
        <f aca="false">IF(MIN(C18:AL18)=999,IF(MIN(C17:AL17)&gt;=0,"Desde el mes 1","Más de 36 meses"),MIN(C18:AL18))</f>
        <v>19</v>
      </c>
    </row>
    <row r="22" customFormat="false" ht="15" hidden="false" customHeight="true" outlineLevel="0" collapsed="false">
      <c r="A22" s="21" t="s">
        <v>72</v>
      </c>
      <c r="C22" s="23" t="n">
        <f aca="false">AL17</f>
        <v>498793.2967236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34"/>
    <col collapsed="false" customWidth="true" hidden="false" outlineLevel="0" max="38" min="6" style="1" width="11"/>
  </cols>
  <sheetData>
    <row r="1" customFormat="false" ht="18" hidden="false" customHeight="true" outlineLevel="0" collapsed="false">
      <c r="A1" s="2" t="s">
        <v>857</v>
      </c>
    </row>
    <row r="2" customFormat="false" ht="15" hidden="false" customHeight="true" outlineLevel="0" collapsed="false">
      <c r="A2" s="3" t="s">
        <v>858</v>
      </c>
    </row>
    <row r="4" customFormat="false" ht="15" hidden="false" customHeight="true" outlineLevel="0" collapsed="false">
      <c r="A4" s="28" t="s">
        <v>859</v>
      </c>
      <c r="B4" s="29"/>
      <c r="C4" s="29"/>
      <c r="D4" s="29"/>
      <c r="E4" s="29"/>
    </row>
    <row r="5" customFormat="false" ht="15" hidden="false" customHeight="true" outlineLevel="0" collapsed="false">
      <c r="A5" s="17" t="s">
        <v>860</v>
      </c>
      <c r="B5" s="18" t="s">
        <v>861</v>
      </c>
      <c r="C5" s="18" t="s">
        <v>862</v>
      </c>
      <c r="D5" s="18" t="s">
        <v>863</v>
      </c>
      <c r="E5" s="18" t="s">
        <v>532</v>
      </c>
    </row>
    <row r="6" customFormat="false" ht="15" hidden="false" customHeight="true" outlineLevel="0" collapsed="false">
      <c r="A6" s="5" t="s">
        <v>864</v>
      </c>
      <c r="B6" s="35" t="n">
        <v>1</v>
      </c>
      <c r="C6" s="39" t="n">
        <v>1200</v>
      </c>
      <c r="D6" s="19" t="n">
        <f aca="false">B6*C6</f>
        <v>1200</v>
      </c>
      <c r="E6" s="40"/>
    </row>
    <row r="7" customFormat="false" ht="15" hidden="false" customHeight="true" outlineLevel="0" collapsed="false">
      <c r="A7" s="5" t="s">
        <v>865</v>
      </c>
      <c r="B7" s="35" t="n">
        <v>2</v>
      </c>
      <c r="C7" s="39" t="n">
        <v>350</v>
      </c>
      <c r="D7" s="19" t="n">
        <f aca="false">B7*C7</f>
        <v>700</v>
      </c>
      <c r="E7" s="40"/>
    </row>
    <row r="8" customFormat="false" ht="15" hidden="false" customHeight="true" outlineLevel="0" collapsed="false">
      <c r="A8" s="5" t="s">
        <v>866</v>
      </c>
      <c r="B8" s="35" t="n">
        <v>2</v>
      </c>
      <c r="C8" s="39" t="n">
        <v>250</v>
      </c>
      <c r="D8" s="19" t="n">
        <f aca="false">B8*C8</f>
        <v>500</v>
      </c>
      <c r="E8" s="40"/>
    </row>
    <row r="9" customFormat="false" ht="15" hidden="false" customHeight="true" outlineLevel="0" collapsed="false">
      <c r="A9" s="5" t="s">
        <v>867</v>
      </c>
      <c r="B9" s="35" t="n">
        <v>1</v>
      </c>
      <c r="C9" s="39" t="n">
        <v>600</v>
      </c>
      <c r="D9" s="19" t="n">
        <f aca="false">B9*C9</f>
        <v>600</v>
      </c>
      <c r="E9" s="3" t="s">
        <v>868</v>
      </c>
    </row>
    <row r="10" customFormat="false" ht="15" hidden="false" customHeight="true" outlineLevel="0" collapsed="false">
      <c r="A10" s="5" t="s">
        <v>869</v>
      </c>
      <c r="B10" s="35" t="n">
        <v>1</v>
      </c>
      <c r="C10" s="39" t="n">
        <v>700</v>
      </c>
      <c r="D10" s="19" t="n">
        <f aca="false">B10*C10</f>
        <v>700</v>
      </c>
      <c r="E10" s="3" t="s">
        <v>870</v>
      </c>
    </row>
    <row r="11" customFormat="false" ht="15" hidden="false" customHeight="true" outlineLevel="0" collapsed="false">
      <c r="A11" s="5" t="s">
        <v>871</v>
      </c>
      <c r="B11" s="35" t="n">
        <v>1</v>
      </c>
      <c r="C11" s="39" t="n">
        <v>800</v>
      </c>
      <c r="D11" s="19" t="n">
        <f aca="false">B11*C11</f>
        <v>800</v>
      </c>
      <c r="E11" s="40"/>
    </row>
    <row r="12" customFormat="false" ht="15" hidden="false" customHeight="true" outlineLevel="0" collapsed="false">
      <c r="A12" s="5" t="s">
        <v>872</v>
      </c>
      <c r="B12" s="35" t="n">
        <v>1</v>
      </c>
      <c r="C12" s="39" t="n">
        <v>350</v>
      </c>
      <c r="D12" s="19" t="n">
        <f aca="false">B12*C12</f>
        <v>350</v>
      </c>
      <c r="E12" s="40"/>
    </row>
    <row r="13" customFormat="false" ht="15" hidden="false" customHeight="true" outlineLevel="0" collapsed="false">
      <c r="A13" s="5" t="s">
        <v>873</v>
      </c>
      <c r="B13" s="35" t="n">
        <v>2</v>
      </c>
      <c r="C13" s="39" t="n">
        <v>1500</v>
      </c>
      <c r="D13" s="19" t="n">
        <f aca="false">B13*C13</f>
        <v>3000</v>
      </c>
      <c r="E13" s="40"/>
    </row>
    <row r="14" customFormat="false" ht="15" hidden="false" customHeight="true" outlineLevel="0" collapsed="false">
      <c r="A14" s="5" t="s">
        <v>874</v>
      </c>
      <c r="B14" s="35" t="n">
        <v>1</v>
      </c>
      <c r="C14" s="39" t="n">
        <v>1200</v>
      </c>
      <c r="D14" s="19" t="n">
        <f aca="false">B14*C14</f>
        <v>1200</v>
      </c>
      <c r="E14" s="3" t="s">
        <v>875</v>
      </c>
    </row>
    <row r="15" customFormat="false" ht="15" hidden="false" customHeight="true" outlineLevel="0" collapsed="false">
      <c r="A15" s="5" t="s">
        <v>876</v>
      </c>
      <c r="B15" s="35" t="n">
        <v>1</v>
      </c>
      <c r="C15" s="39" t="n">
        <v>1800</v>
      </c>
      <c r="D15" s="19" t="n">
        <f aca="false">B15*C15</f>
        <v>1800</v>
      </c>
      <c r="E15" s="40"/>
    </row>
    <row r="16" customFormat="false" ht="15" hidden="false" customHeight="true" outlineLevel="0" collapsed="false">
      <c r="A16" s="78" t="s">
        <v>877</v>
      </c>
      <c r="D16" s="79" t="n">
        <f aca="false">SUM(D6:D15)</f>
        <v>10850</v>
      </c>
    </row>
    <row r="18" customFormat="false" ht="15" hidden="false" customHeight="true" outlineLevel="0" collapsed="false">
      <c r="A18" s="28" t="s">
        <v>878</v>
      </c>
      <c r="B18" s="29"/>
      <c r="C18" s="29"/>
      <c r="D18" s="29"/>
      <c r="E18" s="29"/>
    </row>
    <row r="19" customFormat="false" ht="15" hidden="false" customHeight="true" outlineLevel="0" collapsed="false">
      <c r="A19" s="17" t="s">
        <v>860</v>
      </c>
      <c r="B19" s="18" t="s">
        <v>861</v>
      </c>
      <c r="C19" s="18" t="s">
        <v>862</v>
      </c>
      <c r="D19" s="18" t="s">
        <v>863</v>
      </c>
      <c r="E19" s="18" t="s">
        <v>532</v>
      </c>
    </row>
    <row r="20" customFormat="false" ht="15" hidden="false" customHeight="true" outlineLevel="0" collapsed="false">
      <c r="A20" s="5" t="s">
        <v>879</v>
      </c>
      <c r="B20" s="35" t="n">
        <v>2</v>
      </c>
      <c r="C20" s="39" t="n">
        <v>65000</v>
      </c>
      <c r="D20" s="19" t="n">
        <f aca="false">B20*C20</f>
        <v>130000</v>
      </c>
      <c r="E20" s="3" t="s">
        <v>880</v>
      </c>
    </row>
    <row r="21" customFormat="false" ht="15" hidden="false" customHeight="true" outlineLevel="0" collapsed="false">
      <c r="A21" s="5" t="s">
        <v>881</v>
      </c>
      <c r="B21" s="35" t="n">
        <v>2</v>
      </c>
      <c r="C21" s="39" t="n">
        <v>9000</v>
      </c>
      <c r="D21" s="19" t="n">
        <f aca="false">B21*C21</f>
        <v>18000</v>
      </c>
      <c r="E21" s="40"/>
    </row>
    <row r="22" customFormat="false" ht="15" hidden="false" customHeight="true" outlineLevel="0" collapsed="false">
      <c r="A22" s="5" t="s">
        <v>882</v>
      </c>
      <c r="B22" s="35" t="n">
        <v>8</v>
      </c>
      <c r="C22" s="39" t="n">
        <v>3500</v>
      </c>
      <c r="D22" s="19" t="n">
        <f aca="false">B22*C22</f>
        <v>28000</v>
      </c>
      <c r="E22" s="40"/>
    </row>
    <row r="23" customFormat="false" ht="15" hidden="false" customHeight="true" outlineLevel="0" collapsed="false">
      <c r="A23" s="5" t="s">
        <v>883</v>
      </c>
      <c r="B23" s="35" t="n">
        <v>1</v>
      </c>
      <c r="C23" s="39" t="n">
        <v>25000</v>
      </c>
      <c r="D23" s="19" t="n">
        <f aca="false">B23*C23</f>
        <v>25000</v>
      </c>
      <c r="E23" s="3" t="s">
        <v>884</v>
      </c>
    </row>
    <row r="24" customFormat="false" ht="15" hidden="false" customHeight="true" outlineLevel="0" collapsed="false">
      <c r="A24" s="5" t="s">
        <v>885</v>
      </c>
      <c r="B24" s="35" t="n">
        <v>1</v>
      </c>
      <c r="C24" s="39" t="n">
        <v>9000</v>
      </c>
      <c r="D24" s="19" t="n">
        <f aca="false">B24*C24</f>
        <v>9000</v>
      </c>
      <c r="E24" s="3" t="s">
        <v>886</v>
      </c>
    </row>
    <row r="25" customFormat="false" ht="15" hidden="false" customHeight="true" outlineLevel="0" collapsed="false">
      <c r="A25" s="5" t="s">
        <v>887</v>
      </c>
      <c r="B25" s="35" t="n">
        <v>1</v>
      </c>
      <c r="C25" s="39" t="n">
        <v>35000</v>
      </c>
      <c r="D25" s="19" t="n">
        <f aca="false">B25*C25</f>
        <v>35000</v>
      </c>
      <c r="E25" s="3" t="s">
        <v>888</v>
      </c>
    </row>
    <row r="26" customFormat="false" ht="15" hidden="false" customHeight="true" outlineLevel="0" collapsed="false">
      <c r="A26" s="5" t="s">
        <v>889</v>
      </c>
      <c r="B26" s="35" t="n">
        <v>2</v>
      </c>
      <c r="C26" s="39" t="n">
        <v>3500</v>
      </c>
      <c r="D26" s="19" t="n">
        <f aca="false">B26*C26</f>
        <v>7000</v>
      </c>
      <c r="E26" s="40"/>
    </row>
    <row r="27" customFormat="false" ht="15" hidden="false" customHeight="true" outlineLevel="0" collapsed="false">
      <c r="A27" s="5" t="s">
        <v>890</v>
      </c>
      <c r="B27" s="35" t="n">
        <v>1</v>
      </c>
      <c r="C27" s="39" t="n">
        <v>60000</v>
      </c>
      <c r="D27" s="19" t="n">
        <f aca="false">B27*C27</f>
        <v>60000</v>
      </c>
      <c r="E27" s="40"/>
    </row>
    <row r="28" customFormat="false" ht="15" hidden="false" customHeight="true" outlineLevel="0" collapsed="false">
      <c r="A28" s="5" t="s">
        <v>891</v>
      </c>
      <c r="B28" s="35" t="n">
        <v>1</v>
      </c>
      <c r="C28" s="39" t="n">
        <v>18000</v>
      </c>
      <c r="D28" s="19" t="n">
        <f aca="false">B28*C28</f>
        <v>18000</v>
      </c>
      <c r="E28" s="40"/>
    </row>
    <row r="29" customFormat="false" ht="15" hidden="false" customHeight="true" outlineLevel="0" collapsed="false">
      <c r="A29" s="5" t="s">
        <v>892</v>
      </c>
      <c r="B29" s="35" t="n">
        <v>1</v>
      </c>
      <c r="C29" s="39" t="n">
        <v>16000</v>
      </c>
      <c r="D29" s="19" t="n">
        <f aca="false">B29*C29</f>
        <v>16000</v>
      </c>
      <c r="E29" s="40"/>
    </row>
    <row r="30" customFormat="false" ht="15" hidden="false" customHeight="true" outlineLevel="0" collapsed="false">
      <c r="A30" s="5" t="s">
        <v>893</v>
      </c>
      <c r="B30" s="35" t="n">
        <v>1</v>
      </c>
      <c r="C30" s="39" t="n">
        <v>9000</v>
      </c>
      <c r="D30" s="19" t="n">
        <f aca="false">B30*C30</f>
        <v>9000</v>
      </c>
      <c r="E30" s="40"/>
    </row>
    <row r="31" customFormat="false" ht="15" hidden="false" customHeight="true" outlineLevel="0" collapsed="false">
      <c r="A31" s="78" t="s">
        <v>877</v>
      </c>
      <c r="D31" s="79" t="n">
        <f aca="false">SUM(D20:D30)</f>
        <v>355000</v>
      </c>
    </row>
    <row r="33" customFormat="false" ht="15" hidden="false" customHeight="true" outlineLevel="0" collapsed="false">
      <c r="A33" s="28" t="s">
        <v>894</v>
      </c>
      <c r="B33" s="29"/>
      <c r="C33" s="29"/>
      <c r="D33" s="29"/>
      <c r="E33" s="29"/>
    </row>
    <row r="34" customFormat="false" ht="15" hidden="false" customHeight="true" outlineLevel="0" collapsed="false">
      <c r="A34" s="17" t="s">
        <v>860</v>
      </c>
      <c r="B34" s="18" t="s">
        <v>861</v>
      </c>
      <c r="C34" s="18" t="s">
        <v>862</v>
      </c>
      <c r="D34" s="18" t="s">
        <v>863</v>
      </c>
      <c r="E34" s="18" t="s">
        <v>532</v>
      </c>
    </row>
    <row r="35" customFormat="false" ht="15" hidden="false" customHeight="true" outlineLevel="0" collapsed="false">
      <c r="A35" s="5" t="s">
        <v>895</v>
      </c>
      <c r="B35" s="35" t="n">
        <v>2</v>
      </c>
      <c r="C35" s="39" t="n">
        <v>350000</v>
      </c>
      <c r="D35" s="19" t="n">
        <f aca="false">B35*C35</f>
        <v>700000</v>
      </c>
      <c r="E35" s="3" t="s">
        <v>880</v>
      </c>
    </row>
    <row r="36" customFormat="false" ht="15" hidden="false" customHeight="true" outlineLevel="0" collapsed="false">
      <c r="A36" s="5" t="s">
        <v>896</v>
      </c>
      <c r="B36" s="35" t="n">
        <v>1</v>
      </c>
      <c r="C36" s="39" t="n">
        <v>280000</v>
      </c>
      <c r="D36" s="19" t="n">
        <f aca="false">B36*C36</f>
        <v>280000</v>
      </c>
      <c r="E36" s="40"/>
    </row>
    <row r="37" customFormat="false" ht="15" hidden="false" customHeight="true" outlineLevel="0" collapsed="false">
      <c r="A37" s="5" t="s">
        <v>897</v>
      </c>
      <c r="B37" s="35" t="n">
        <v>1</v>
      </c>
      <c r="C37" s="39" t="n">
        <v>180000</v>
      </c>
      <c r="D37" s="19" t="n">
        <f aca="false">B37*C37</f>
        <v>180000</v>
      </c>
      <c r="E37" s="40"/>
    </row>
    <row r="38" customFormat="false" ht="15" hidden="false" customHeight="true" outlineLevel="0" collapsed="false">
      <c r="A38" s="5" t="s">
        <v>898</v>
      </c>
      <c r="B38" s="35" t="n">
        <v>1</v>
      </c>
      <c r="C38" s="39" t="n">
        <v>450000</v>
      </c>
      <c r="D38" s="19" t="n">
        <f aca="false">B38*C38</f>
        <v>450000</v>
      </c>
      <c r="E38" s="40"/>
    </row>
    <row r="39" customFormat="false" ht="15" hidden="false" customHeight="true" outlineLevel="0" collapsed="false">
      <c r="A39" s="5" t="s">
        <v>899</v>
      </c>
      <c r="B39" s="35" t="n">
        <v>1</v>
      </c>
      <c r="C39" s="39" t="n">
        <v>220000</v>
      </c>
      <c r="D39" s="19" t="n">
        <f aca="false">B39*C39</f>
        <v>220000</v>
      </c>
      <c r="E39" s="40"/>
    </row>
    <row r="40" customFormat="false" ht="15" hidden="false" customHeight="true" outlineLevel="0" collapsed="false">
      <c r="A40" s="5" t="s">
        <v>900</v>
      </c>
      <c r="B40" s="35" t="n">
        <v>1</v>
      </c>
      <c r="C40" s="39" t="n">
        <v>120000</v>
      </c>
      <c r="D40" s="19" t="n">
        <f aca="false">B40*C40</f>
        <v>120000</v>
      </c>
      <c r="E40" s="40"/>
    </row>
    <row r="41" customFormat="false" ht="15" hidden="false" customHeight="true" outlineLevel="0" collapsed="false">
      <c r="A41" s="5" t="s">
        <v>901</v>
      </c>
      <c r="B41" s="35" t="n">
        <v>1</v>
      </c>
      <c r="C41" s="39" t="n">
        <v>160000</v>
      </c>
      <c r="D41" s="19" t="n">
        <f aca="false">B41*C41</f>
        <v>160000</v>
      </c>
      <c r="E41" s="40"/>
    </row>
    <row r="42" customFormat="false" ht="15" hidden="false" customHeight="true" outlineLevel="0" collapsed="false">
      <c r="A42" s="5" t="s">
        <v>902</v>
      </c>
      <c r="B42" s="35" t="n">
        <v>1</v>
      </c>
      <c r="C42" s="39" t="n">
        <v>250000</v>
      </c>
      <c r="D42" s="19" t="n">
        <f aca="false">B42*C42</f>
        <v>250000</v>
      </c>
      <c r="E42" s="40"/>
    </row>
    <row r="43" customFormat="false" ht="15" hidden="false" customHeight="true" outlineLevel="0" collapsed="false">
      <c r="A43" s="78" t="s">
        <v>877</v>
      </c>
      <c r="D43" s="79" t="n">
        <f aca="false">SUM(D35:D42)</f>
        <v>2360000</v>
      </c>
    </row>
    <row r="45" customFormat="false" ht="15" hidden="false" customHeight="true" outlineLevel="0" collapsed="false">
      <c r="A45" s="28" t="s">
        <v>903</v>
      </c>
      <c r="B45" s="29"/>
      <c r="C45" s="29"/>
      <c r="D45" s="29"/>
      <c r="E45" s="29"/>
    </row>
    <row r="46" customFormat="false" ht="15" hidden="false" customHeight="true" outlineLevel="0" collapsed="false">
      <c r="A46" s="5" t="s">
        <v>904</v>
      </c>
      <c r="B46" s="26" t="n">
        <f aca="false">salario_min</f>
        <v>315.04</v>
      </c>
    </row>
    <row r="47" customFormat="false" ht="15" hidden="false" customHeight="true" outlineLevel="0" collapsed="false">
      <c r="A47" s="5" t="s">
        <v>905</v>
      </c>
      <c r="B47" s="26" t="n">
        <f aca="false">salario_min*mult_salario</f>
        <v>362.296</v>
      </c>
    </row>
    <row r="48" customFormat="false" ht="15" hidden="false" customHeight="true" outlineLevel="0" collapsed="false">
      <c r="A48" s="5" t="s">
        <v>906</v>
      </c>
      <c r="B48" s="26" t="n">
        <f aca="false">B47*carga_social</f>
        <v>489.0996</v>
      </c>
    </row>
    <row r="49" customFormat="false" ht="15" hidden="false" customHeight="true" outlineLevel="0" collapsed="false">
      <c r="A49" s="5" t="s">
        <v>907</v>
      </c>
      <c r="B49" s="22" t="n">
        <f aca="false">prod_n2</f>
        <v>550</v>
      </c>
    </row>
    <row r="50" customFormat="false" ht="15" hidden="false" customHeight="true" outlineLevel="0" collapsed="false">
      <c r="A50" s="5" t="s">
        <v>908</v>
      </c>
      <c r="B50" s="26" t="n">
        <f aca="false">B48/B49</f>
        <v>0.889272</v>
      </c>
    </row>
    <row r="51" customFormat="false" ht="15" hidden="false" customHeight="true" outlineLevel="0" collapsed="false">
      <c r="A51" s="5" t="s">
        <v>288</v>
      </c>
      <c r="B51" s="26" t="n">
        <f aca="false">energia_pza</f>
        <v>0.25</v>
      </c>
    </row>
    <row r="52" customFormat="false" ht="15" hidden="false" customHeight="true" outlineLevel="0" collapsed="false">
      <c r="A52" s="5" t="s">
        <v>291</v>
      </c>
      <c r="B52" s="26" t="n">
        <f aca="false">consumibles_pza</f>
        <v>0.1</v>
      </c>
    </row>
    <row r="53" customFormat="false" ht="15" hidden="false" customHeight="true" outlineLevel="0" collapsed="false">
      <c r="A53" s="21" t="s">
        <v>909</v>
      </c>
      <c r="B53" s="37" t="n">
        <f aca="false">B50+B51+B52</f>
        <v>1.239272</v>
      </c>
    </row>
    <row r="54" customFormat="false" ht="15" hidden="false" customHeight="true" outlineLevel="0" collapsed="false">
      <c r="A54" s="5" t="s">
        <v>910</v>
      </c>
      <c r="B54" s="26" t="n">
        <f aca="false">transf_maquila</f>
        <v>2.2</v>
      </c>
    </row>
    <row r="55" customFormat="false" ht="15" hidden="false" customHeight="true" outlineLevel="0" collapsed="false">
      <c r="A55" s="5" t="s">
        <v>911</v>
      </c>
      <c r="B55" s="26" t="n">
        <f aca="false">B54-B53</f>
        <v>0.960728</v>
      </c>
    </row>
    <row r="56" customFormat="false" ht="15" hidden="false" customHeight="true" outlineLevel="0" collapsed="false">
      <c r="A56" s="5" t="s">
        <v>912</v>
      </c>
      <c r="B56" s="19" t="n">
        <f aca="false">renta+sueldo_sup*carga_social+capex_n2/(dep_n2*12)</f>
        <v>45516.6666666667</v>
      </c>
    </row>
    <row r="57" customFormat="false" ht="15" hidden="false" customHeight="true" outlineLevel="0" collapsed="false">
      <c r="A57" s="5" t="s">
        <v>913</v>
      </c>
      <c r="B57" s="22" t="n">
        <f aca="false">IFERROR(B56/B55,0)</f>
        <v>47377.2666838758</v>
      </c>
    </row>
    <row r="59" customFormat="false" ht="15" hidden="false" customHeight="true" outlineLevel="0" collapsed="false">
      <c r="A59" s="28" t="s">
        <v>914</v>
      </c>
      <c r="B59" s="29"/>
      <c r="C59" s="29"/>
      <c r="D59" s="29"/>
      <c r="E59" s="29"/>
    </row>
    <row r="60" customFormat="false" ht="15" hidden="false" customHeight="true" outlineLevel="0" collapsed="false">
      <c r="A60" s="5" t="s">
        <v>915</v>
      </c>
      <c r="B60" s="35" t="n">
        <v>40</v>
      </c>
    </row>
    <row r="61" customFormat="false" ht="15" hidden="false" customHeight="true" outlineLevel="0" collapsed="false">
      <c r="A61" s="5" t="s">
        <v>916</v>
      </c>
      <c r="B61" s="22" t="n">
        <f aca="false">B60*dias_habiles</f>
        <v>960</v>
      </c>
    </row>
    <row r="62" customFormat="false" ht="15" hidden="false" customHeight="true" outlineLevel="0" collapsed="false">
      <c r="A62" s="5" t="s">
        <v>917</v>
      </c>
      <c r="B62" s="35" t="n">
        <v>16</v>
      </c>
    </row>
    <row r="63" customFormat="false" ht="15" hidden="false" customHeight="true" outlineLevel="0" collapsed="false">
      <c r="A63" s="5" t="s">
        <v>918</v>
      </c>
      <c r="B63" s="24" t="n">
        <f aca="false">B62*prod_n2*dias_habiles</f>
        <v>211200</v>
      </c>
    </row>
    <row r="64" customFormat="false" ht="15" hidden="false" customHeight="true" outlineLevel="0" collapsed="false">
      <c r="A64" s="5" t="s">
        <v>919</v>
      </c>
      <c r="B64" s="35" t="n">
        <v>600</v>
      </c>
    </row>
    <row r="65" customFormat="false" ht="15" hidden="false" customHeight="true" outlineLevel="0" collapsed="false">
      <c r="A65" s="5" t="s">
        <v>920</v>
      </c>
      <c r="B65" s="35" t="n">
        <v>16</v>
      </c>
    </row>
    <row r="66" customFormat="false" ht="15" hidden="false" customHeight="true" outlineLevel="0" collapsed="false">
      <c r="A66" s="5" t="s">
        <v>921</v>
      </c>
      <c r="B66" s="24" t="n">
        <f aca="false">B64*B65*dias_habiles</f>
        <v>230400</v>
      </c>
    </row>
    <row r="68" customFormat="false" ht="15" hidden="false" customHeight="true" outlineLevel="0" collapsed="false">
      <c r="A68" s="28" t="s">
        <v>922</v>
      </c>
      <c r="B68" s="29"/>
      <c r="C68" s="29"/>
      <c r="D68" s="29"/>
      <c r="E68" s="29"/>
    </row>
    <row r="69" customFormat="false" ht="15" hidden="false" customHeight="true" outlineLevel="0" collapsed="false">
      <c r="A69" s="28" t="s">
        <v>750</v>
      </c>
      <c r="C69" s="75" t="n">
        <f aca="false">Volumen!C3</f>
        <v>1</v>
      </c>
      <c r="D69" s="75" t="n">
        <f aca="false">Volumen!D3</f>
        <v>2</v>
      </c>
      <c r="E69" s="75" t="n">
        <f aca="false">Volumen!E3</f>
        <v>3</v>
      </c>
      <c r="F69" s="75" t="n">
        <f aca="false">Volumen!F3</f>
        <v>4</v>
      </c>
      <c r="G69" s="75" t="n">
        <f aca="false">Volumen!G3</f>
        <v>5</v>
      </c>
      <c r="H69" s="75" t="n">
        <f aca="false">Volumen!H3</f>
        <v>6</v>
      </c>
      <c r="I69" s="75" t="n">
        <f aca="false">Volumen!I3</f>
        <v>7</v>
      </c>
      <c r="J69" s="75" t="n">
        <f aca="false">Volumen!J3</f>
        <v>8</v>
      </c>
      <c r="K69" s="75" t="n">
        <f aca="false">Volumen!K3</f>
        <v>9</v>
      </c>
      <c r="L69" s="75" t="n">
        <f aca="false">Volumen!L3</f>
        <v>10</v>
      </c>
      <c r="M69" s="75" t="n">
        <f aca="false">Volumen!M3</f>
        <v>11</v>
      </c>
      <c r="N69" s="75" t="n">
        <f aca="false">Volumen!N3</f>
        <v>12</v>
      </c>
      <c r="O69" s="75" t="n">
        <f aca="false">Volumen!O3</f>
        <v>13</v>
      </c>
      <c r="P69" s="75" t="n">
        <f aca="false">Volumen!P3</f>
        <v>14</v>
      </c>
      <c r="Q69" s="75" t="n">
        <f aca="false">Volumen!Q3</f>
        <v>15</v>
      </c>
      <c r="R69" s="75" t="n">
        <f aca="false">Volumen!R3</f>
        <v>16</v>
      </c>
      <c r="S69" s="75" t="n">
        <f aca="false">Volumen!S3</f>
        <v>17</v>
      </c>
      <c r="T69" s="75" t="n">
        <f aca="false">Volumen!T3</f>
        <v>18</v>
      </c>
      <c r="U69" s="75" t="n">
        <f aca="false">Volumen!U3</f>
        <v>19</v>
      </c>
      <c r="V69" s="75" t="n">
        <f aca="false">Volumen!V3</f>
        <v>20</v>
      </c>
      <c r="W69" s="75" t="n">
        <f aca="false">Volumen!W3</f>
        <v>21</v>
      </c>
      <c r="X69" s="75" t="n">
        <f aca="false">Volumen!X3</f>
        <v>22</v>
      </c>
      <c r="Y69" s="75" t="n">
        <f aca="false">Volumen!Y3</f>
        <v>23</v>
      </c>
      <c r="Z69" s="75" t="n">
        <f aca="false">Volumen!Z3</f>
        <v>24</v>
      </c>
      <c r="AA69" s="75" t="n">
        <f aca="false">Volumen!AA3</f>
        <v>25</v>
      </c>
      <c r="AB69" s="75" t="n">
        <f aca="false">Volumen!AB3</f>
        <v>26</v>
      </c>
      <c r="AC69" s="75" t="n">
        <f aca="false">Volumen!AC3</f>
        <v>27</v>
      </c>
      <c r="AD69" s="75" t="n">
        <f aca="false">Volumen!AD3</f>
        <v>28</v>
      </c>
      <c r="AE69" s="75" t="n">
        <f aca="false">Volumen!AE3</f>
        <v>29</v>
      </c>
      <c r="AF69" s="75" t="n">
        <f aca="false">Volumen!AF3</f>
        <v>30</v>
      </c>
      <c r="AG69" s="75" t="n">
        <f aca="false">Volumen!AG3</f>
        <v>31</v>
      </c>
      <c r="AH69" s="75" t="n">
        <f aca="false">Volumen!AH3</f>
        <v>32</v>
      </c>
      <c r="AI69" s="75" t="n">
        <f aca="false">Volumen!AI3</f>
        <v>33</v>
      </c>
      <c r="AJ69" s="75" t="n">
        <f aca="false">Volumen!AJ3</f>
        <v>34</v>
      </c>
      <c r="AK69" s="75" t="n">
        <f aca="false">Volumen!AK3</f>
        <v>35</v>
      </c>
      <c r="AL69" s="75" t="n">
        <f aca="false">Volumen!AL3</f>
        <v>36</v>
      </c>
    </row>
    <row r="70" customFormat="false" ht="15" hidden="false" customHeight="true" outlineLevel="0" collapsed="false">
      <c r="A70" s="21" t="s">
        <v>923</v>
      </c>
      <c r="C70" s="22" t="n">
        <f aca="false">Volumen!C43</f>
        <v>4885.125</v>
      </c>
      <c r="D70" s="22" t="n">
        <f aca="false">Volumen!D43</f>
        <v>3644.82625</v>
      </c>
      <c r="E70" s="22" t="n">
        <f aca="false">Volumen!E43</f>
        <v>5386.53742063492</v>
      </c>
      <c r="F70" s="22" t="n">
        <f aca="false">Volumen!F43</f>
        <v>7689.62359126984</v>
      </c>
      <c r="G70" s="22" t="n">
        <f aca="false">Volumen!G43</f>
        <v>10682.8035119048</v>
      </c>
      <c r="H70" s="22" t="n">
        <f aca="false">Volumen!H43</f>
        <v>13594.7959325397</v>
      </c>
      <c r="I70" s="22" t="n">
        <f aca="false">Volumen!I43</f>
        <v>15370.1633531746</v>
      </c>
      <c r="J70" s="22" t="n">
        <f aca="false">Volumen!J43</f>
        <v>15269.0170238095</v>
      </c>
      <c r="K70" s="22" t="n">
        <f aca="false">Volumen!K43</f>
        <v>13489.6519444444</v>
      </c>
      <c r="L70" s="22" t="n">
        <f aca="false">Volumen!L43</f>
        <v>13510.2868650794</v>
      </c>
      <c r="M70" s="22" t="n">
        <f aca="false">Volumen!M43</f>
        <v>14342.7967857143</v>
      </c>
      <c r="N70" s="22" t="n">
        <f aca="false">Volumen!N43</f>
        <v>26820.9217857143</v>
      </c>
      <c r="O70" s="22" t="n">
        <f aca="false">Volumen!O43</f>
        <v>35377.2967857143</v>
      </c>
      <c r="P70" s="22" t="n">
        <f aca="false">Volumen!P43</f>
        <v>28232.7967857143</v>
      </c>
      <c r="Q70" s="22" t="n">
        <f aca="false">Volumen!Q43</f>
        <v>14829.9217857143</v>
      </c>
      <c r="R70" s="22" t="n">
        <f aca="false">Volumen!R43</f>
        <v>15722.9842857143</v>
      </c>
      <c r="S70" s="22" t="n">
        <f aca="false">Volumen!S43</f>
        <v>17509.1092857143</v>
      </c>
      <c r="T70" s="22" t="n">
        <f aca="false">Volumen!T43</f>
        <v>18402.1717857143</v>
      </c>
      <c r="U70" s="22" t="n">
        <f aca="false">Volumen!U43</f>
        <v>17509.1092857143</v>
      </c>
      <c r="V70" s="22" t="n">
        <f aca="false">Volumen!V43</f>
        <v>14829.9217857143</v>
      </c>
      <c r="W70" s="22" t="n">
        <f aca="false">Volumen!W43</f>
        <v>14829.9217857143</v>
      </c>
      <c r="X70" s="22" t="n">
        <f aca="false">Volumen!X43</f>
        <v>14829.9217857143</v>
      </c>
      <c r="Y70" s="22" t="n">
        <f aca="false">Volumen!Y43</f>
        <v>15722.9842857143</v>
      </c>
      <c r="Z70" s="22" t="n">
        <f aca="false">Volumen!Z43</f>
        <v>29418.9217857143</v>
      </c>
      <c r="AA70" s="22" t="n">
        <f aca="false">Volumen!AA43</f>
        <v>38770.9342857143</v>
      </c>
      <c r="AB70" s="22" t="n">
        <f aca="false">Volumen!AB43</f>
        <v>30911.9842857143</v>
      </c>
      <c r="AC70" s="22" t="n">
        <f aca="false">Volumen!AC43</f>
        <v>16258.8217857143</v>
      </c>
      <c r="AD70" s="22" t="n">
        <f aca="false">Volumen!AD43</f>
        <v>17241.1905357143</v>
      </c>
      <c r="AE70" s="22" t="n">
        <f aca="false">Volumen!AE43</f>
        <v>19205.9280357143</v>
      </c>
      <c r="AF70" s="22" t="n">
        <f aca="false">Volumen!AF43</f>
        <v>20188.2967857143</v>
      </c>
      <c r="AG70" s="22" t="n">
        <f aca="false">Volumen!AG43</f>
        <v>19205.9280357143</v>
      </c>
      <c r="AH70" s="22" t="n">
        <f aca="false">Volumen!AH43</f>
        <v>16258.8217857143</v>
      </c>
      <c r="AI70" s="22" t="n">
        <f aca="false">Volumen!AI43</f>
        <v>16258.8217857143</v>
      </c>
      <c r="AJ70" s="22" t="n">
        <f aca="false">Volumen!AJ43</f>
        <v>16258.8217857143</v>
      </c>
      <c r="AK70" s="22" t="n">
        <f aca="false">Volumen!AK43</f>
        <v>17241.1905357143</v>
      </c>
      <c r="AL70" s="22" t="n">
        <f aca="false">Volumen!AL43</f>
        <v>32276.7217857143</v>
      </c>
    </row>
    <row r="71" customFormat="false" ht="15" hidden="false" customHeight="true" outlineLevel="0" collapsed="false">
      <c r="A71" s="5" t="s">
        <v>924</v>
      </c>
      <c r="C71" s="22" t="n">
        <f aca="false">IF(C69&gt;=mes_planta,ROUNDUP(C70/(prod_n2*dias_habiles),0),0)</f>
        <v>0</v>
      </c>
      <c r="D71" s="22" t="n">
        <f aca="false">IF(D69&gt;=mes_planta,ROUNDUP(D70/(prod_n2*dias_habiles),0),0)</f>
        <v>0</v>
      </c>
      <c r="E71" s="22" t="n">
        <f aca="false">IF(E69&gt;=mes_planta,ROUNDUP(E70/(prod_n2*dias_habiles),0),0)</f>
        <v>0</v>
      </c>
      <c r="F71" s="22" t="n">
        <f aca="false">IF(F69&gt;=mes_planta,ROUNDUP(F70/(prod_n2*dias_habiles),0),0)</f>
        <v>0</v>
      </c>
      <c r="G71" s="22" t="n">
        <f aca="false">IF(G69&gt;=mes_planta,ROUNDUP(G70/(prod_n2*dias_habiles),0),0)</f>
        <v>0</v>
      </c>
      <c r="H71" s="22" t="n">
        <f aca="false">IF(H69&gt;=mes_planta,ROUNDUP(H70/(prod_n2*dias_habiles),0),0)</f>
        <v>0</v>
      </c>
      <c r="I71" s="22" t="n">
        <f aca="false">IF(I69&gt;=mes_planta,ROUNDUP(I70/(prod_n2*dias_habiles),0),0)</f>
        <v>0</v>
      </c>
      <c r="J71" s="22" t="n">
        <f aca="false">IF(J69&gt;=mes_planta,ROUNDUP(J70/(prod_n2*dias_habiles),0),0)</f>
        <v>0</v>
      </c>
      <c r="K71" s="22" t="n">
        <f aca="false">IF(K69&gt;=mes_planta,ROUNDUP(K70/(prod_n2*dias_habiles),0),0)</f>
        <v>0</v>
      </c>
      <c r="L71" s="22" t="n">
        <f aca="false">IF(L69&gt;=mes_planta,ROUNDUP(L70/(prod_n2*dias_habiles),0),0)</f>
        <v>0</v>
      </c>
      <c r="M71" s="22" t="n">
        <f aca="false">IF(M69&gt;=mes_planta,ROUNDUP(M70/(prod_n2*dias_habiles),0),0)</f>
        <v>0</v>
      </c>
      <c r="N71" s="22" t="n">
        <f aca="false">IF(N69&gt;=mes_planta,ROUNDUP(N70/(prod_n2*dias_habiles),0),0)</f>
        <v>0</v>
      </c>
      <c r="O71" s="22" t="n">
        <f aca="false">IF(O69&gt;=mes_planta,ROUNDUP(O70/(prod_n2*dias_habiles),0),0)</f>
        <v>0</v>
      </c>
      <c r="P71" s="22" t="n">
        <f aca="false">IF(P69&gt;=mes_planta,ROUNDUP(P70/(prod_n2*dias_habiles),0),0)</f>
        <v>0</v>
      </c>
      <c r="Q71" s="22" t="n">
        <f aca="false">IF(Q69&gt;=mes_planta,ROUNDUP(Q70/(prod_n2*dias_habiles),0),0)</f>
        <v>0</v>
      </c>
      <c r="R71" s="22" t="n">
        <f aca="false">IF(R69&gt;=mes_planta,ROUNDUP(R70/(prod_n2*dias_habiles),0),0)</f>
        <v>0</v>
      </c>
      <c r="S71" s="22" t="n">
        <f aca="false">IF(S69&gt;=mes_planta,ROUNDUP(S70/(prod_n2*dias_habiles),0),0)</f>
        <v>0</v>
      </c>
      <c r="T71" s="22" t="n">
        <f aca="false">IF(T69&gt;=mes_planta,ROUNDUP(T70/(prod_n2*dias_habiles),0),0)</f>
        <v>0</v>
      </c>
      <c r="U71" s="22" t="n">
        <f aca="false">IF(U69&gt;=mes_planta,ROUNDUP(U70/(prod_n2*dias_habiles),0),0)</f>
        <v>0</v>
      </c>
      <c r="V71" s="22" t="n">
        <f aca="false">IF(V69&gt;=mes_planta,ROUNDUP(V70/(prod_n2*dias_habiles),0),0)</f>
        <v>0</v>
      </c>
      <c r="W71" s="22" t="n">
        <f aca="false">IF(W69&gt;=mes_planta,ROUNDUP(W70/(prod_n2*dias_habiles),0),0)</f>
        <v>0</v>
      </c>
      <c r="X71" s="22" t="n">
        <f aca="false">IF(X69&gt;=mes_planta,ROUNDUP(X70/(prod_n2*dias_habiles),0),0)</f>
        <v>0</v>
      </c>
      <c r="Y71" s="22" t="n">
        <f aca="false">IF(Y69&gt;=mes_planta,ROUNDUP(Y70/(prod_n2*dias_habiles),0),0)</f>
        <v>0</v>
      </c>
      <c r="Z71" s="22" t="n">
        <f aca="false">IF(Z69&gt;=mes_planta,ROUNDUP(Z70/(prod_n2*dias_habiles),0),0)</f>
        <v>0</v>
      </c>
      <c r="AA71" s="22" t="n">
        <f aca="false">IF(AA69&gt;=mes_planta,ROUNDUP(AA70/(prod_n2*dias_habiles),0),0)</f>
        <v>0</v>
      </c>
      <c r="AB71" s="22" t="n">
        <f aca="false">IF(AB69&gt;=mes_planta,ROUNDUP(AB70/(prod_n2*dias_habiles),0),0)</f>
        <v>0</v>
      </c>
      <c r="AC71" s="22" t="n">
        <f aca="false">IF(AC69&gt;=mes_planta,ROUNDUP(AC70/(prod_n2*dias_habiles),0),0)</f>
        <v>0</v>
      </c>
      <c r="AD71" s="22" t="n">
        <f aca="false">IF(AD69&gt;=mes_planta,ROUNDUP(AD70/(prod_n2*dias_habiles),0),0)</f>
        <v>0</v>
      </c>
      <c r="AE71" s="22" t="n">
        <f aca="false">IF(AE69&gt;=mes_planta,ROUNDUP(AE70/(prod_n2*dias_habiles),0),0)</f>
        <v>0</v>
      </c>
      <c r="AF71" s="22" t="n">
        <f aca="false">IF(AF69&gt;=mes_planta,ROUNDUP(AF70/(prod_n2*dias_habiles),0),0)</f>
        <v>0</v>
      </c>
      <c r="AG71" s="22" t="n">
        <f aca="false">IF(AG69&gt;=mes_planta,ROUNDUP(AG70/(prod_n2*dias_habiles),0),0)</f>
        <v>0</v>
      </c>
      <c r="AH71" s="22" t="n">
        <f aca="false">IF(AH69&gt;=mes_planta,ROUNDUP(AH70/(prod_n2*dias_habiles),0),0)</f>
        <v>0</v>
      </c>
      <c r="AI71" s="22" t="n">
        <f aca="false">IF(AI69&gt;=mes_planta,ROUNDUP(AI70/(prod_n2*dias_habiles),0),0)</f>
        <v>0</v>
      </c>
      <c r="AJ71" s="22" t="n">
        <f aca="false">IF(AJ69&gt;=mes_planta,ROUNDUP(AJ70/(prod_n2*dias_habiles),0),0)</f>
        <v>0</v>
      </c>
      <c r="AK71" s="22" t="n">
        <f aca="false">IF(AK69&gt;=mes_planta,ROUNDUP(AK70/(prod_n2*dias_habiles),0),0)</f>
        <v>0</v>
      </c>
      <c r="AL71" s="22" t="n">
        <f aca="false">IF(AL69&gt;=mes_planta,ROUNDUP(AL70/(prod_n2*dias_habiles),0),0)</f>
        <v>0</v>
      </c>
    </row>
    <row r="72" customFormat="false" ht="15" hidden="false" customHeight="true" outlineLevel="0" collapsed="false">
      <c r="A72" s="5" t="s">
        <v>925</v>
      </c>
      <c r="C72" s="20" t="n">
        <f aca="false">IFERROR(C70/cap_n2_mes,0)</f>
        <v>0.0231303267045455</v>
      </c>
      <c r="D72" s="20" t="n">
        <f aca="false">IFERROR(D70/cap_n2_mes,0)</f>
        <v>0.0172577000473485</v>
      </c>
      <c r="E72" s="20" t="n">
        <f aca="false">IFERROR(E70/cap_n2_mes,0)</f>
        <v>0.0255044385446729</v>
      </c>
      <c r="F72" s="20" t="n">
        <f aca="false">IFERROR(F70/cap_n2_mes,0)</f>
        <v>0.0364092026101792</v>
      </c>
      <c r="G72" s="20" t="n">
        <f aca="false">IFERROR(G70/cap_n2_mes,0)</f>
        <v>0.0505814560222763</v>
      </c>
      <c r="H72" s="20" t="n">
        <f aca="false">IFERROR(H70/cap_n2_mes,0)</f>
        <v>0.0643692989230099</v>
      </c>
      <c r="I72" s="20" t="n">
        <f aca="false">IFERROR(I70/cap_n2_mes,0)</f>
        <v>0.0727753946646525</v>
      </c>
      <c r="J72" s="20" t="n">
        <f aca="false">IFERROR(J70/cap_n2_mes,0)</f>
        <v>0.0722964821203102</v>
      </c>
      <c r="K72" s="20" t="n">
        <f aca="false">IFERROR(K70/cap_n2_mes,0)</f>
        <v>0.0638714580702862</v>
      </c>
      <c r="L72" s="20" t="n">
        <f aca="false">IFERROR(L70/cap_n2_mes,0)</f>
        <v>0.0639691612929894</v>
      </c>
      <c r="M72" s="20" t="n">
        <f aca="false">IFERROR(M70/cap_n2_mes,0)</f>
        <v>0.067910969629329</v>
      </c>
      <c r="N72" s="20" t="n">
        <f aca="false">IFERROR(N70/cap_n2_mes,0)</f>
        <v>0.126993000879329</v>
      </c>
      <c r="O72" s="20" t="n">
        <f aca="false">IFERROR(O70/cap_n2_mes,0)</f>
        <v>0.167506140083874</v>
      </c>
      <c r="P72" s="20" t="n">
        <f aca="false">IFERROR(P70/cap_n2_mes,0)</f>
        <v>0.133678015083874</v>
      </c>
      <c r="Q72" s="20" t="n">
        <f aca="false">IFERROR(Q70/cap_n2_mes,0)</f>
        <v>0.0702174326975108</v>
      </c>
      <c r="R72" s="20" t="n">
        <f aca="false">IFERROR(R70/cap_n2_mes,0)</f>
        <v>0.0744459483225108</v>
      </c>
      <c r="S72" s="20" t="n">
        <f aca="false">IFERROR(S70/cap_n2_mes,0)</f>
        <v>0.0829029795725108</v>
      </c>
      <c r="T72" s="20" t="n">
        <f aca="false">IFERROR(T70/cap_n2_mes,0)</f>
        <v>0.0871314951975108</v>
      </c>
      <c r="U72" s="20" t="n">
        <f aca="false">IFERROR(U70/cap_n2_mes,0)</f>
        <v>0.0829029795725108</v>
      </c>
      <c r="V72" s="20" t="n">
        <f aca="false">IFERROR(V70/cap_n2_mes,0)</f>
        <v>0.0702174326975108</v>
      </c>
      <c r="W72" s="20" t="n">
        <f aca="false">IFERROR(W70/cap_n2_mes,0)</f>
        <v>0.0702174326975108</v>
      </c>
      <c r="X72" s="20" t="n">
        <f aca="false">IFERROR(X70/cap_n2_mes,0)</f>
        <v>0.0702174326975108</v>
      </c>
      <c r="Y72" s="20" t="n">
        <f aca="false">IFERROR(Y70/cap_n2_mes,0)</f>
        <v>0.0744459483225108</v>
      </c>
      <c r="Z72" s="20" t="n">
        <f aca="false">IFERROR(Z70/cap_n2_mes,0)</f>
        <v>0.139294137242965</v>
      </c>
      <c r="AA72" s="20" t="n">
        <f aca="false">IFERROR(AA70/cap_n2_mes,0)</f>
        <v>0.183574499458874</v>
      </c>
      <c r="AB72" s="20" t="n">
        <f aca="false">IFERROR(AB70/cap_n2_mes,0)</f>
        <v>0.146363561958875</v>
      </c>
      <c r="AC72" s="20" t="n">
        <f aca="false">IFERROR(AC70/cap_n2_mes,0)</f>
        <v>0.0769830576975109</v>
      </c>
      <c r="AD72" s="20" t="n">
        <f aca="false">IFERROR(AD70/cap_n2_mes,0)</f>
        <v>0.0816344248850108</v>
      </c>
      <c r="AE72" s="20" t="n">
        <f aca="false">IFERROR(AE70/cap_n2_mes,0)</f>
        <v>0.0909371592600108</v>
      </c>
      <c r="AF72" s="20" t="n">
        <f aca="false">IFERROR(AF70/cap_n2_mes,0)</f>
        <v>0.0955885264475108</v>
      </c>
      <c r="AG72" s="20" t="n">
        <f aca="false">IFERROR(AG70/cap_n2_mes,0)</f>
        <v>0.0909371592600108</v>
      </c>
      <c r="AH72" s="20" t="n">
        <f aca="false">IFERROR(AH70/cap_n2_mes,0)</f>
        <v>0.0769830576975109</v>
      </c>
      <c r="AI72" s="20" t="n">
        <f aca="false">IFERROR(AI70/cap_n2_mes,0)</f>
        <v>0.0769830576975109</v>
      </c>
      <c r="AJ72" s="20" t="n">
        <f aca="false">IFERROR(AJ70/cap_n2_mes,0)</f>
        <v>0.0769830576975109</v>
      </c>
      <c r="AK72" s="20" t="n">
        <f aca="false">IFERROR(AK70/cap_n2_mes,0)</f>
        <v>0.0816344248850108</v>
      </c>
      <c r="AL72" s="20" t="n">
        <f aca="false">IFERROR(AL70/cap_n2_mes,0)</f>
        <v>0.152825387242965</v>
      </c>
    </row>
    <row r="73" customFormat="false" ht="15" hidden="false" customHeight="true" outlineLevel="0" collapsed="false">
      <c r="A73" s="5" t="s">
        <v>926</v>
      </c>
      <c r="C73" s="22" t="n">
        <f aca="false">IF(C70&gt;cap_n2_mes,1,0)</f>
        <v>0</v>
      </c>
      <c r="D73" s="22" t="n">
        <f aca="false">IF(D70&gt;cap_n2_mes,1,0)</f>
        <v>0</v>
      </c>
      <c r="E73" s="22" t="n">
        <f aca="false">IF(E70&gt;cap_n2_mes,1,0)</f>
        <v>0</v>
      </c>
      <c r="F73" s="22" t="n">
        <f aca="false">IF(F70&gt;cap_n2_mes,1,0)</f>
        <v>0</v>
      </c>
      <c r="G73" s="22" t="n">
        <f aca="false">IF(G70&gt;cap_n2_mes,1,0)</f>
        <v>0</v>
      </c>
      <c r="H73" s="22" t="n">
        <f aca="false">IF(H70&gt;cap_n2_mes,1,0)</f>
        <v>0</v>
      </c>
      <c r="I73" s="22" t="n">
        <f aca="false">IF(I70&gt;cap_n2_mes,1,0)</f>
        <v>0</v>
      </c>
      <c r="J73" s="22" t="n">
        <f aca="false">IF(J70&gt;cap_n2_mes,1,0)</f>
        <v>0</v>
      </c>
      <c r="K73" s="22" t="n">
        <f aca="false">IF(K70&gt;cap_n2_mes,1,0)</f>
        <v>0</v>
      </c>
      <c r="L73" s="22" t="n">
        <f aca="false">IF(L70&gt;cap_n2_mes,1,0)</f>
        <v>0</v>
      </c>
      <c r="M73" s="22" t="n">
        <f aca="false">IF(M70&gt;cap_n2_mes,1,0)</f>
        <v>0</v>
      </c>
      <c r="N73" s="22" t="n">
        <f aca="false">IF(N70&gt;cap_n2_mes,1,0)</f>
        <v>0</v>
      </c>
      <c r="O73" s="22" t="n">
        <f aca="false">IF(O70&gt;cap_n2_mes,1,0)</f>
        <v>0</v>
      </c>
      <c r="P73" s="22" t="n">
        <f aca="false">IF(P70&gt;cap_n2_mes,1,0)</f>
        <v>0</v>
      </c>
      <c r="Q73" s="22" t="n">
        <f aca="false">IF(Q70&gt;cap_n2_mes,1,0)</f>
        <v>0</v>
      </c>
      <c r="R73" s="22" t="n">
        <f aca="false">IF(R70&gt;cap_n2_mes,1,0)</f>
        <v>0</v>
      </c>
      <c r="S73" s="22" t="n">
        <f aca="false">IF(S70&gt;cap_n2_mes,1,0)</f>
        <v>0</v>
      </c>
      <c r="T73" s="22" t="n">
        <f aca="false">IF(T70&gt;cap_n2_mes,1,0)</f>
        <v>0</v>
      </c>
      <c r="U73" s="22" t="n">
        <f aca="false">IF(U70&gt;cap_n2_mes,1,0)</f>
        <v>0</v>
      </c>
      <c r="V73" s="22" t="n">
        <f aca="false">IF(V70&gt;cap_n2_mes,1,0)</f>
        <v>0</v>
      </c>
      <c r="W73" s="22" t="n">
        <f aca="false">IF(W70&gt;cap_n2_mes,1,0)</f>
        <v>0</v>
      </c>
      <c r="X73" s="22" t="n">
        <f aca="false">IF(X70&gt;cap_n2_mes,1,0)</f>
        <v>0</v>
      </c>
      <c r="Y73" s="22" t="n">
        <f aca="false">IF(Y70&gt;cap_n2_mes,1,0)</f>
        <v>0</v>
      </c>
      <c r="Z73" s="22" t="n">
        <f aca="false">IF(Z70&gt;cap_n2_mes,1,0)</f>
        <v>0</v>
      </c>
      <c r="AA73" s="22" t="n">
        <f aca="false">IF(AA70&gt;cap_n2_mes,1,0)</f>
        <v>0</v>
      </c>
      <c r="AB73" s="22" t="n">
        <f aca="false">IF(AB70&gt;cap_n2_mes,1,0)</f>
        <v>0</v>
      </c>
      <c r="AC73" s="22" t="n">
        <f aca="false">IF(AC70&gt;cap_n2_mes,1,0)</f>
        <v>0</v>
      </c>
      <c r="AD73" s="22" t="n">
        <f aca="false">IF(AD70&gt;cap_n2_mes,1,0)</f>
        <v>0</v>
      </c>
      <c r="AE73" s="22" t="n">
        <f aca="false">IF(AE70&gt;cap_n2_mes,1,0)</f>
        <v>0</v>
      </c>
      <c r="AF73" s="22" t="n">
        <f aca="false">IF(AF70&gt;cap_n2_mes,1,0)</f>
        <v>0</v>
      </c>
      <c r="AG73" s="22" t="n">
        <f aca="false">IF(AG70&gt;cap_n2_mes,1,0)</f>
        <v>0</v>
      </c>
      <c r="AH73" s="22" t="n">
        <f aca="false">IF(AH70&gt;cap_n2_mes,1,0)</f>
        <v>0</v>
      </c>
      <c r="AI73" s="22" t="n">
        <f aca="false">IF(AI70&gt;cap_n2_mes,1,0)</f>
        <v>0</v>
      </c>
      <c r="AJ73" s="22" t="n">
        <f aca="false">IF(AJ70&gt;cap_n2_mes,1,0)</f>
        <v>0</v>
      </c>
      <c r="AK73" s="22" t="n">
        <f aca="false">IF(AK70&gt;cap_n2_mes,1,0)</f>
        <v>0</v>
      </c>
      <c r="AL73" s="22" t="n">
        <f aca="false">IF(AL70&gt;cap_n2_mes,1,0)</f>
        <v>0</v>
      </c>
    </row>
    <row r="74" customFormat="false" ht="15" hidden="false" customHeight="true" outlineLevel="0" collapsed="false">
      <c r="A74" s="5" t="s">
        <v>927</v>
      </c>
      <c r="C74" s="22" t="n">
        <f aca="false">MAX(0,C70-SUMIF(Volumen!$C$6:$AL$6,Volumen!C6,Volumen!$C$43:$AL$43)/12)</f>
        <v>0</v>
      </c>
      <c r="D74" s="22" t="n">
        <f aca="false">MAX(0,D70-SUMIF(Volumen!$C$6:$AL$6,Volumen!D6,Volumen!$C$43:$AL$43)/12)</f>
        <v>0</v>
      </c>
      <c r="E74" s="22" t="n">
        <f aca="false">MAX(0,E70-SUMIF(Volumen!$C$6:$AL$6,Volumen!E6,Volumen!$C$43:$AL$43)/12)</f>
        <v>0</v>
      </c>
      <c r="F74" s="22" t="n">
        <f aca="false">MAX(0,F70-SUMIF(Volumen!$C$6:$AL$6,Volumen!F6,Volumen!$C$43:$AL$43)/12)</f>
        <v>0</v>
      </c>
      <c r="G74" s="22" t="n">
        <f aca="false">MAX(0,G70-SUMIF(Volumen!$C$6:$AL$6,Volumen!G6,Volumen!$C$43:$AL$43)/12)</f>
        <v>0</v>
      </c>
      <c r="H74" s="22" t="n">
        <f aca="false">MAX(0,H70-SUMIF(Volumen!$C$6:$AL$6,Volumen!H6,Volumen!$C$43:$AL$43)/12)</f>
        <v>1537.58347718254</v>
      </c>
      <c r="I74" s="22" t="n">
        <f aca="false">MAX(0,I70-SUMIF(Volumen!$C$6:$AL$6,Volumen!I6,Volumen!$C$43:$AL$43)/12)</f>
        <v>3312.95089781746</v>
      </c>
      <c r="J74" s="22" t="n">
        <f aca="false">MAX(0,J70-SUMIF(Volumen!$C$6:$AL$6,Volumen!J6,Volumen!$C$43:$AL$43)/12)</f>
        <v>3211.80456845238</v>
      </c>
      <c r="K74" s="22" t="n">
        <f aca="false">MAX(0,K70-SUMIF(Volumen!$C$6:$AL$6,Volumen!K6,Volumen!$C$43:$AL$43)/12)</f>
        <v>1432.4394890873</v>
      </c>
      <c r="L74" s="22" t="n">
        <f aca="false">MAX(0,L70-SUMIF(Volumen!$C$6:$AL$6,Volumen!L6,Volumen!$C$43:$AL$43)/12)</f>
        <v>1453.07440972222</v>
      </c>
      <c r="M74" s="22" t="n">
        <f aca="false">MAX(0,M70-SUMIF(Volumen!$C$6:$AL$6,Volumen!M6,Volumen!$C$43:$AL$43)/12)</f>
        <v>2285.58433035714</v>
      </c>
      <c r="N74" s="22" t="n">
        <f aca="false">MAX(0,N70-SUMIF(Volumen!$C$6:$AL$6,Volumen!N6,Volumen!$C$43:$AL$43)/12)</f>
        <v>14763.7093303571</v>
      </c>
      <c r="O74" s="22" t="n">
        <f aca="false">MAX(0,O70-SUMIF(Volumen!$C$6:$AL$6,Volumen!O6,Volumen!$C$43:$AL$43)/12)</f>
        <v>15609.375</v>
      </c>
      <c r="P74" s="22" t="n">
        <f aca="false">MAX(0,P70-SUMIF(Volumen!$C$6:$AL$6,Volumen!P6,Volumen!$C$43:$AL$43)/12)</f>
        <v>8464.875</v>
      </c>
      <c r="Q74" s="22" t="n">
        <f aca="false">MAX(0,Q70-SUMIF(Volumen!$C$6:$AL$6,Volumen!Q6,Volumen!$C$43:$AL$43)/12)</f>
        <v>0</v>
      </c>
      <c r="R74" s="22" t="n">
        <f aca="false">MAX(0,R70-SUMIF(Volumen!$C$6:$AL$6,Volumen!R6,Volumen!$C$43:$AL$43)/12)</f>
        <v>0</v>
      </c>
      <c r="S74" s="22" t="n">
        <f aca="false">MAX(0,S70-SUMIF(Volumen!$C$6:$AL$6,Volumen!S6,Volumen!$C$43:$AL$43)/12)</f>
        <v>0</v>
      </c>
      <c r="T74" s="22" t="n">
        <f aca="false">MAX(0,T70-SUMIF(Volumen!$C$6:$AL$6,Volumen!T6,Volumen!$C$43:$AL$43)/12)</f>
        <v>0</v>
      </c>
      <c r="U74" s="22" t="n">
        <f aca="false">MAX(0,U70-SUMIF(Volumen!$C$6:$AL$6,Volumen!U6,Volumen!$C$43:$AL$43)/12)</f>
        <v>0</v>
      </c>
      <c r="V74" s="22" t="n">
        <f aca="false">MAX(0,V70-SUMIF(Volumen!$C$6:$AL$6,Volumen!V6,Volumen!$C$43:$AL$43)/12)</f>
        <v>0</v>
      </c>
      <c r="W74" s="22" t="n">
        <f aca="false">MAX(0,W70-SUMIF(Volumen!$C$6:$AL$6,Volumen!W6,Volumen!$C$43:$AL$43)/12)</f>
        <v>0</v>
      </c>
      <c r="X74" s="22" t="n">
        <f aca="false">MAX(0,X70-SUMIF(Volumen!$C$6:$AL$6,Volumen!X6,Volumen!$C$43:$AL$43)/12)</f>
        <v>0</v>
      </c>
      <c r="Y74" s="22" t="n">
        <f aca="false">MAX(0,Y70-SUMIF(Volumen!$C$6:$AL$6,Volumen!Y6,Volumen!$C$43:$AL$43)/12)</f>
        <v>0</v>
      </c>
      <c r="Z74" s="22" t="n">
        <f aca="false">MAX(0,Z70-SUMIF(Volumen!$C$6:$AL$6,Volumen!Z6,Volumen!$C$43:$AL$43)/12)</f>
        <v>9651</v>
      </c>
      <c r="AA74" s="22" t="n">
        <f aca="false">MAX(0,AA70-SUMIF(Volumen!$C$6:$AL$6,Volumen!AA6,Volumen!$C$43:$AL$43)/12)</f>
        <v>17097.8125</v>
      </c>
      <c r="AB74" s="22" t="n">
        <f aca="false">MAX(0,AB70-SUMIF(Volumen!$C$6:$AL$6,Volumen!AB6,Volumen!$C$43:$AL$43)/12)</f>
        <v>9238.8625</v>
      </c>
      <c r="AC74" s="22" t="n">
        <f aca="false">MAX(0,AC70-SUMIF(Volumen!$C$6:$AL$6,Volumen!AC6,Volumen!$C$43:$AL$43)/12)</f>
        <v>0</v>
      </c>
      <c r="AD74" s="22" t="n">
        <f aca="false">MAX(0,AD70-SUMIF(Volumen!$C$6:$AL$6,Volumen!AD6,Volumen!$C$43:$AL$43)/12)</f>
        <v>0</v>
      </c>
      <c r="AE74" s="22" t="n">
        <f aca="false">MAX(0,AE70-SUMIF(Volumen!$C$6:$AL$6,Volumen!AE6,Volumen!$C$43:$AL$43)/12)</f>
        <v>0</v>
      </c>
      <c r="AF74" s="22" t="n">
        <f aca="false">MAX(0,AF70-SUMIF(Volumen!$C$6:$AL$6,Volumen!AF6,Volumen!$C$43:$AL$43)/12)</f>
        <v>0</v>
      </c>
      <c r="AG74" s="22" t="n">
        <f aca="false">MAX(0,AG70-SUMIF(Volumen!$C$6:$AL$6,Volumen!AG6,Volumen!$C$43:$AL$43)/12)</f>
        <v>0</v>
      </c>
      <c r="AH74" s="22" t="n">
        <f aca="false">MAX(0,AH70-SUMIF(Volumen!$C$6:$AL$6,Volumen!AH6,Volumen!$C$43:$AL$43)/12)</f>
        <v>0</v>
      </c>
      <c r="AI74" s="22" t="n">
        <f aca="false">MAX(0,AI70-SUMIF(Volumen!$C$6:$AL$6,Volumen!AI6,Volumen!$C$43:$AL$43)/12)</f>
        <v>0</v>
      </c>
      <c r="AJ74" s="22" t="n">
        <f aca="false">MAX(0,AJ70-SUMIF(Volumen!$C$6:$AL$6,Volumen!AJ6,Volumen!$C$43:$AL$43)/12)</f>
        <v>0</v>
      </c>
      <c r="AK74" s="22" t="n">
        <f aca="false">MAX(0,AK70-SUMIF(Volumen!$C$6:$AL$6,Volumen!AK6,Volumen!$C$43:$AL$43)/12)</f>
        <v>0</v>
      </c>
      <c r="AL74" s="22" t="n">
        <f aca="false">MAX(0,AL70-SUMIF(Volumen!$C$6:$AL$6,Volumen!AL6,Volumen!$C$43:$AL$43)/12)</f>
        <v>10603.6</v>
      </c>
    </row>
    <row r="75" customFormat="false" ht="15" hidden="false" customHeight="true" outlineLevel="0" collapsed="false">
      <c r="A75" s="5" t="s">
        <v>928</v>
      </c>
      <c r="C75" s="22" t="n">
        <f aca="false">IF(C73=1,C69,999)</f>
        <v>999</v>
      </c>
      <c r="D75" s="22" t="n">
        <f aca="false">IF(D73=1,D69,999)</f>
        <v>999</v>
      </c>
      <c r="E75" s="22" t="n">
        <f aca="false">IF(E73=1,E69,999)</f>
        <v>999</v>
      </c>
      <c r="F75" s="22" t="n">
        <f aca="false">IF(F73=1,F69,999)</f>
        <v>999</v>
      </c>
      <c r="G75" s="22" t="n">
        <f aca="false">IF(G73=1,G69,999)</f>
        <v>999</v>
      </c>
      <c r="H75" s="22" t="n">
        <f aca="false">IF(H73=1,H69,999)</f>
        <v>999</v>
      </c>
      <c r="I75" s="22" t="n">
        <f aca="false">IF(I73=1,I69,999)</f>
        <v>999</v>
      </c>
      <c r="J75" s="22" t="n">
        <f aca="false">IF(J73=1,J69,999)</f>
        <v>999</v>
      </c>
      <c r="K75" s="22" t="n">
        <f aca="false">IF(K73=1,K69,999)</f>
        <v>999</v>
      </c>
      <c r="L75" s="22" t="n">
        <f aca="false">IF(L73=1,L69,999)</f>
        <v>999</v>
      </c>
      <c r="M75" s="22" t="n">
        <f aca="false">IF(M73=1,M69,999)</f>
        <v>999</v>
      </c>
      <c r="N75" s="22" t="n">
        <f aca="false">IF(N73=1,N69,999)</f>
        <v>999</v>
      </c>
      <c r="O75" s="22" t="n">
        <f aca="false">IF(O73=1,O69,999)</f>
        <v>999</v>
      </c>
      <c r="P75" s="22" t="n">
        <f aca="false">IF(P73=1,P69,999)</f>
        <v>999</v>
      </c>
      <c r="Q75" s="22" t="n">
        <f aca="false">IF(Q73=1,Q69,999)</f>
        <v>999</v>
      </c>
      <c r="R75" s="22" t="n">
        <f aca="false">IF(R73=1,R69,999)</f>
        <v>999</v>
      </c>
      <c r="S75" s="22" t="n">
        <f aca="false">IF(S73=1,S69,999)</f>
        <v>999</v>
      </c>
      <c r="T75" s="22" t="n">
        <f aca="false">IF(T73=1,T69,999)</f>
        <v>999</v>
      </c>
      <c r="U75" s="22" t="n">
        <f aca="false">IF(U73=1,U69,999)</f>
        <v>999</v>
      </c>
      <c r="V75" s="22" t="n">
        <f aca="false">IF(V73=1,V69,999)</f>
        <v>999</v>
      </c>
      <c r="W75" s="22" t="n">
        <f aca="false">IF(W73=1,W69,999)</f>
        <v>999</v>
      </c>
      <c r="X75" s="22" t="n">
        <f aca="false">IF(X73=1,X69,999)</f>
        <v>999</v>
      </c>
      <c r="Y75" s="22" t="n">
        <f aca="false">IF(Y73=1,Y69,999)</f>
        <v>999</v>
      </c>
      <c r="Z75" s="22" t="n">
        <f aca="false">IF(Z73=1,Z69,999)</f>
        <v>999</v>
      </c>
      <c r="AA75" s="22" t="n">
        <f aca="false">IF(AA73=1,AA69,999)</f>
        <v>999</v>
      </c>
      <c r="AB75" s="22" t="n">
        <f aca="false">IF(AB73=1,AB69,999)</f>
        <v>999</v>
      </c>
      <c r="AC75" s="22" t="n">
        <f aca="false">IF(AC73=1,AC69,999)</f>
        <v>999</v>
      </c>
      <c r="AD75" s="22" t="n">
        <f aca="false">IF(AD73=1,AD69,999)</f>
        <v>999</v>
      </c>
      <c r="AE75" s="22" t="n">
        <f aca="false">IF(AE73=1,AE69,999)</f>
        <v>999</v>
      </c>
      <c r="AF75" s="22" t="n">
        <f aca="false">IF(AF73=1,AF69,999)</f>
        <v>999</v>
      </c>
      <c r="AG75" s="22" t="n">
        <f aca="false">IF(AG73=1,AG69,999)</f>
        <v>999</v>
      </c>
      <c r="AH75" s="22" t="n">
        <f aca="false">IF(AH73=1,AH69,999)</f>
        <v>999</v>
      </c>
      <c r="AI75" s="22" t="n">
        <f aca="false">IF(AI73=1,AI69,999)</f>
        <v>999</v>
      </c>
      <c r="AJ75" s="22" t="n">
        <f aca="false">IF(AJ73=1,AJ69,999)</f>
        <v>999</v>
      </c>
      <c r="AK75" s="22" t="n">
        <f aca="false">IF(AK73=1,AK69,999)</f>
        <v>999</v>
      </c>
      <c r="AL75" s="22" t="n">
        <f aca="false">IF(AL73=1,AL69,999)</f>
        <v>999</v>
      </c>
    </row>
    <row r="77" customFormat="false" ht="15" hidden="false" customHeight="true" outlineLevel="0" collapsed="false">
      <c r="A77" s="81" t="s">
        <v>929</v>
      </c>
      <c r="B77" s="83" t="str">
        <f aca="false">IF(MIN(C75:AL75)=999,"No rebasa en 36 meses",MIN(C75:AL75))</f>
        <v>No rebasa en 36 meses</v>
      </c>
    </row>
    <row r="78" customFormat="false" ht="15" hidden="false" customHeight="true" outlineLevel="0" collapsed="false">
      <c r="A78" s="21" t="s">
        <v>930</v>
      </c>
      <c r="B78" s="24" t="n">
        <f aca="false">MAX(C71:AL71)</f>
        <v>0</v>
      </c>
    </row>
    <row r="79" customFormat="false" ht="15" hidden="false" customHeight="true" outlineLevel="0" collapsed="false">
      <c r="A79" s="21" t="s">
        <v>931</v>
      </c>
      <c r="B79" s="24" t="n">
        <f aca="false">SUMIF(Volumen!$C$6:$AL$6,2,C74:AL74)</f>
        <v>33725.25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70"/>
  </cols>
  <sheetData>
    <row r="1" customFormat="false" ht="18" hidden="false" customHeight="true" outlineLevel="0" collapsed="false">
      <c r="A1" s="2" t="s">
        <v>932</v>
      </c>
    </row>
    <row r="2" customFormat="false" ht="15" hidden="false" customHeight="true" outlineLevel="0" collapsed="false">
      <c r="A2" s="3" t="s">
        <v>933</v>
      </c>
    </row>
    <row r="4" customFormat="false" ht="15" hidden="false" customHeight="true" outlineLevel="0" collapsed="false">
      <c r="A4" s="4" t="s">
        <v>934</v>
      </c>
    </row>
    <row r="5" customFormat="false" ht="15" hidden="false" customHeight="true" outlineLevel="0" collapsed="false">
      <c r="A5" s="5" t="s">
        <v>935</v>
      </c>
      <c r="B5" s="22" t="n">
        <f aca="false">SUMIF(Volumen!$C$6:$AL$6,2,Volumen!$C$43:$AL$43)</f>
        <v>237215.061428571</v>
      </c>
    </row>
    <row r="6" customFormat="false" ht="15" hidden="false" customHeight="true" outlineLevel="0" collapsed="false">
      <c r="A6" s="5" t="s">
        <v>936</v>
      </c>
      <c r="B6" s="22" t="n">
        <f aca="false">SUMIF(Volumen!$C$6:$AL$6,2,Volumen!$C$45:$AL$45)</f>
        <v>151805.025</v>
      </c>
    </row>
    <row r="7" customFormat="false" ht="15" hidden="false" customHeight="true" outlineLevel="0" collapsed="false">
      <c r="A7" s="5" t="s">
        <v>888</v>
      </c>
      <c r="B7" s="22" t="n">
        <f aca="false">SUMIF(Volumen!$C$6:$AL$6,2,Volumen!$C$46:$AL$46)</f>
        <v>85410.0364285714</v>
      </c>
    </row>
    <row r="8" customFormat="false" ht="15" hidden="false" customHeight="true" outlineLevel="0" collapsed="false">
      <c r="A8" s="5" t="s">
        <v>937</v>
      </c>
      <c r="B8" s="22" t="n">
        <f aca="false">SUMIF(Volumen!$C$6:$AL$6,2,Volumen!$C$16:$AL$16)</f>
        <v>228624</v>
      </c>
    </row>
    <row r="9" customFormat="false" ht="15" hidden="false" customHeight="true" outlineLevel="0" collapsed="false">
      <c r="A9" s="5" t="s">
        <v>938</v>
      </c>
      <c r="B9" s="22" t="n">
        <f aca="false">SUMIF(Volumen!$C$6:$AL$6,2,Volumen!$C$21:$AL$21)</f>
        <v>75553.0875</v>
      </c>
    </row>
    <row r="10" customFormat="false" ht="15" hidden="false" customHeight="true" outlineLevel="0" collapsed="false">
      <c r="A10" s="5" t="s">
        <v>939</v>
      </c>
      <c r="B10" s="22" t="n">
        <f aca="false">SUMIF(Volumen!$C$6:$AL$6,2,Volumen!$C$22:$AL$22)</f>
        <v>82518.975</v>
      </c>
    </row>
    <row r="11" customFormat="false" ht="15" hidden="false" customHeight="true" outlineLevel="0" collapsed="false">
      <c r="A11" s="5" t="s">
        <v>940</v>
      </c>
      <c r="B11" s="22" t="n">
        <f aca="false">SUMIF(Volumen!$C$6:$AL$6,2,Volumen!$C$23:$AL$23)</f>
        <v>53655.195</v>
      </c>
    </row>
    <row r="12" customFormat="false" ht="15" hidden="false" customHeight="true" outlineLevel="0" collapsed="false">
      <c r="A12" s="5" t="s">
        <v>941</v>
      </c>
      <c r="B12" s="22" t="n">
        <f aca="false">SUMIF(Volumen!$C$6:$AL$6,2,Volumen!$C$24:$AL$24)</f>
        <v>16896.7425</v>
      </c>
    </row>
    <row r="14" customFormat="false" ht="15" hidden="false" customHeight="true" outlineLevel="0" collapsed="false">
      <c r="A14" s="17" t="s">
        <v>942</v>
      </c>
      <c r="B14" s="18" t="s">
        <v>943</v>
      </c>
      <c r="C14" s="18" t="s">
        <v>91</v>
      </c>
      <c r="D14" s="18" t="s">
        <v>92</v>
      </c>
      <c r="E14" s="18" t="s">
        <v>109</v>
      </c>
      <c r="F14" s="18" t="s">
        <v>944</v>
      </c>
      <c r="G14" s="18" t="s">
        <v>945</v>
      </c>
      <c r="H14" s="18" t="s">
        <v>946</v>
      </c>
      <c r="I14" s="18" t="s">
        <v>947</v>
      </c>
    </row>
    <row r="15" customFormat="false" ht="15" hidden="false" customHeight="true" outlineLevel="0" collapsed="false">
      <c r="A15" s="22" t="n">
        <v>1</v>
      </c>
      <c r="B15" s="5" t="s">
        <v>948</v>
      </c>
      <c r="C15" s="47" t="n">
        <f aca="false">Supuestos!$D$40</f>
        <v>1.25</v>
      </c>
      <c r="D15" s="47" t="n">
        <f aca="false">Supuestos!$E$40</f>
        <v>1.1</v>
      </c>
      <c r="E15" s="3" t="s">
        <v>949</v>
      </c>
      <c r="F15" s="26" t="n">
        <f aca="false">(Cascada!B49-Cascada!C49)*Cascada!C50/1000</f>
        <v>1.602230422716</v>
      </c>
      <c r="G15" s="22" t="n">
        <f aca="false">$B$5</f>
        <v>237215.061428571</v>
      </c>
      <c r="H15" s="23" t="n">
        <f aca="false">F15*G15</f>
        <v>380073.188147301</v>
      </c>
      <c r="I15" s="3" t="s">
        <v>950</v>
      </c>
    </row>
    <row r="16" customFormat="false" ht="15" hidden="false" customHeight="true" outlineLevel="0" collapsed="false">
      <c r="A16" s="22" t="n">
        <v>2</v>
      </c>
      <c r="B16" s="5" t="s">
        <v>951</v>
      </c>
      <c r="C16" s="47" t="n">
        <f aca="false">Supuestos!$D$36</f>
        <v>2.6</v>
      </c>
      <c r="D16" s="47" t="n">
        <f aca="false">Supuestos!$E$36</f>
        <v>2.3</v>
      </c>
      <c r="E16" s="3" t="s">
        <v>208</v>
      </c>
      <c r="F16" s="26" t="n">
        <f aca="false">(Supuestos!$D$36-Supuestos!$E$36)*Supuestos!$E$35*(1+Supuestos!$E$37)/1000*Cascada!C49</f>
        <v>1.532568230424</v>
      </c>
      <c r="G16" s="22" t="n">
        <f aca="false">$B$5</f>
        <v>237215.061428571</v>
      </c>
      <c r="H16" s="23" t="n">
        <f aca="false">F16*G16</f>
        <v>363548.266923507</v>
      </c>
      <c r="I16" s="3" t="s">
        <v>952</v>
      </c>
    </row>
    <row r="17" customFormat="false" ht="15" hidden="false" customHeight="true" outlineLevel="0" collapsed="false">
      <c r="A17" s="22" t="n">
        <v>3</v>
      </c>
      <c r="B17" s="5" t="s">
        <v>953</v>
      </c>
      <c r="C17" s="47" t="n">
        <f aca="false">Supuestos!$D$37</f>
        <v>0.05</v>
      </c>
      <c r="D17" s="47" t="n">
        <f aca="false">Supuestos!$E$37</f>
        <v>0.03</v>
      </c>
      <c r="E17" s="3" t="s">
        <v>127</v>
      </c>
      <c r="F17" s="26" t="n">
        <f aca="false">Supuestos!$E$36*Supuestos!$E$35*(Supuestos!$D$37-Supuestos!$E$37)/1000*Cascada!C49</f>
        <v>0.228149315856</v>
      </c>
      <c r="G17" s="22" t="n">
        <f aca="false">$B$5</f>
        <v>237215.061428571</v>
      </c>
      <c r="H17" s="23" t="n">
        <f aca="false">F17*G17</f>
        <v>54120.4539756676</v>
      </c>
      <c r="I17" s="3" t="s">
        <v>954</v>
      </c>
    </row>
    <row r="18" customFormat="false" ht="15" hidden="false" customHeight="true" outlineLevel="0" collapsed="false">
      <c r="A18" s="22" t="n">
        <v>4</v>
      </c>
      <c r="B18" s="5" t="s">
        <v>955</v>
      </c>
      <c r="C18" s="47" t="n">
        <f aca="false">Supuestos!$D$41</f>
        <v>5.5</v>
      </c>
      <c r="D18" s="47" t="n">
        <f aca="false">Supuestos!$E$41</f>
        <v>4.2</v>
      </c>
      <c r="E18" s="3" t="s">
        <v>956</v>
      </c>
      <c r="F18" s="26" t="n">
        <f aca="false">Supuestos!$D$41-Supuestos!$E$41</f>
        <v>1.3</v>
      </c>
      <c r="G18" s="22" t="n">
        <f aca="false">$B$6</f>
        <v>151805.025</v>
      </c>
      <c r="H18" s="23" t="n">
        <f aca="false">F18*G18</f>
        <v>197346.5325</v>
      </c>
      <c r="I18" s="3" t="s">
        <v>957</v>
      </c>
    </row>
    <row r="19" customFormat="false" ht="15" hidden="false" customHeight="true" outlineLevel="0" collapsed="false">
      <c r="A19" s="22" t="n">
        <v>5</v>
      </c>
      <c r="B19" s="5" t="s">
        <v>958</v>
      </c>
      <c r="C19" s="47" t="n">
        <f aca="false">Supuestos!$D$43+Supuestos!$D$44+Supuestos!$D$49</f>
        <v>1.85</v>
      </c>
      <c r="D19" s="47" t="n">
        <f aca="false">Supuestos!$E$43+Supuestos!$E$44+Supuestos!$E$49</f>
        <v>1.5</v>
      </c>
      <c r="E19" s="3" t="s">
        <v>157</v>
      </c>
      <c r="F19" s="26" t="n">
        <f aca="false">(Supuestos!$D$43+Supuestos!$D$44+Supuestos!$D$49)-(Supuestos!$E$43+Supuestos!$E$44+Supuestos!$E$49)</f>
        <v>0.35</v>
      </c>
      <c r="G19" s="22" t="n">
        <f aca="false">$B$6</f>
        <v>151805.025</v>
      </c>
      <c r="H19" s="23" t="n">
        <f aca="false">F19*G19</f>
        <v>53131.75875</v>
      </c>
      <c r="I19" s="3" t="s">
        <v>959</v>
      </c>
    </row>
    <row r="20" customFormat="false" ht="15" hidden="false" customHeight="true" outlineLevel="0" collapsed="false">
      <c r="A20" s="22" t="n">
        <v>6</v>
      </c>
      <c r="B20" s="5" t="s">
        <v>960</v>
      </c>
      <c r="C20" s="47" t="n">
        <f aca="false">Supuestos!$D$57</f>
        <v>720</v>
      </c>
      <c r="D20" s="47" t="n">
        <f aca="false">Supuestos!$E$57</f>
        <v>800</v>
      </c>
      <c r="E20" s="3" t="s">
        <v>961</v>
      </c>
      <c r="F20" s="26" t="n">
        <f aca="false">Cascada!B52-Cascada!C52</f>
        <v>0.236111111111111</v>
      </c>
      <c r="G20" s="22" t="n">
        <f aca="false">$B$6</f>
        <v>151805.025</v>
      </c>
      <c r="H20" s="23" t="n">
        <f aca="false">F20*G20</f>
        <v>35842.853125</v>
      </c>
      <c r="I20" s="3" t="s">
        <v>962</v>
      </c>
    </row>
    <row r="21" customFormat="false" ht="15" hidden="false" customHeight="true" outlineLevel="0" collapsed="false">
      <c r="A21" s="22" t="n">
        <v>7</v>
      </c>
      <c r="B21" s="5" t="s">
        <v>963</v>
      </c>
      <c r="C21" s="47" t="n">
        <f aca="false">Supuestos!$D$53</f>
        <v>0.03</v>
      </c>
      <c r="D21" s="47" t="n">
        <f aca="false">Supuestos!$E$53</f>
        <v>0.015</v>
      </c>
      <c r="E21" s="3" t="s">
        <v>127</v>
      </c>
      <c r="F21" s="26" t="n">
        <f aca="false">(Supuestos!$D$53-Supuestos!$E$53)*Cascada!C54</f>
        <v>0.26549534649876</v>
      </c>
      <c r="G21" s="22" t="n">
        <f aca="false">$B$5</f>
        <v>237215.061428571</v>
      </c>
      <c r="H21" s="23" t="n">
        <f aca="false">F21*G21</f>
        <v>62979.4949287032</v>
      </c>
      <c r="I21" s="3" t="s">
        <v>964</v>
      </c>
    </row>
    <row r="22" customFormat="false" ht="15" hidden="false" customHeight="true" outlineLevel="0" collapsed="false">
      <c r="A22" s="22" t="n">
        <v>8</v>
      </c>
      <c r="B22" s="5" t="s">
        <v>965</v>
      </c>
      <c r="C22" s="47" t="n">
        <f aca="false">Supuestos!$E$60</f>
        <v>2.2</v>
      </c>
      <c r="D22" s="47" t="n">
        <f aca="false">Cascada!C56</f>
        <v>1.239272</v>
      </c>
      <c r="E22" s="3" t="s">
        <v>157</v>
      </c>
      <c r="F22" s="26" t="n">
        <f aca="false">Supuestos!$E$60-Cascada!C56</f>
        <v>0.960728</v>
      </c>
      <c r="G22" s="22" t="n">
        <f aca="false">$B$5</f>
        <v>237215.061428571</v>
      </c>
      <c r="H22" s="23" t="n">
        <f aca="false">F22*G22-12*(renta+sueldo_sup*carga_social+capex_n2/(dep_n2*12))</f>
        <v>-318300.848463851</v>
      </c>
      <c r="I22" s="3" t="s">
        <v>966</v>
      </c>
    </row>
    <row r="23" customFormat="false" ht="15" hidden="false" customHeight="true" outlineLevel="0" collapsed="false">
      <c r="A23" s="22" t="n">
        <v>9</v>
      </c>
      <c r="B23" s="5" t="s">
        <v>967</v>
      </c>
      <c r="C23" s="47" t="n">
        <f aca="false">Supuestos!$D$31</f>
        <v>0.3</v>
      </c>
      <c r="D23" s="47" t="n">
        <f aca="false">Supuestos!$E$31</f>
        <v>0.27</v>
      </c>
      <c r="E23" s="3" t="s">
        <v>127</v>
      </c>
      <c r="F23" s="26" t="n">
        <f aca="false">Supuestos!$E$19*(Supuestos!$D$31-Supuestos!$E$31)*(1-Supuestos!$E$32)/(1+Supuestos!$E$10)</f>
        <v>1.05181034482759</v>
      </c>
      <c r="G23" s="22" t="n">
        <f aca="false">$B$8</f>
        <v>228624</v>
      </c>
      <c r="H23" s="23" t="n">
        <f aca="false">F23*G23</f>
        <v>240469.088275862</v>
      </c>
      <c r="I23" s="3" t="s">
        <v>968</v>
      </c>
    </row>
    <row r="24" customFormat="false" ht="15" hidden="false" customHeight="true" outlineLevel="0" collapsed="false">
      <c r="A24" s="22" t="n">
        <v>10</v>
      </c>
      <c r="B24" s="5" t="s">
        <v>969</v>
      </c>
      <c r="C24" s="47" t="n">
        <f aca="false">Supuestos!$D$32</f>
        <v>0.2</v>
      </c>
      <c r="D24" s="47" t="n">
        <f aca="false">Supuestos!$E$32</f>
        <v>0.17</v>
      </c>
      <c r="E24" s="3" t="s">
        <v>127</v>
      </c>
      <c r="F24" s="26" t="n">
        <f aca="false">Supuestos!$E$19*(1-Supuestos!$E$31)*(Supuestos!$D$32-Supuestos!$E$32)/(1+Supuestos!$E$10)</f>
        <v>0.925086206896552</v>
      </c>
      <c r="G24" s="22" t="n">
        <f aca="false">$B$8</f>
        <v>228624</v>
      </c>
      <c r="H24" s="23" t="n">
        <f aca="false">F24*G24</f>
        <v>211496.908965517</v>
      </c>
      <c r="I24" s="3" t="s">
        <v>970</v>
      </c>
    </row>
    <row r="25" customFormat="false" ht="15" hidden="false" customHeight="true" outlineLevel="0" collapsed="false">
      <c r="A25" s="22" t="n">
        <v>11</v>
      </c>
      <c r="B25" s="5" t="s">
        <v>971</v>
      </c>
      <c r="C25" s="47" t="n">
        <f aca="false">Supuestos!$D$19</f>
        <v>45</v>
      </c>
      <c r="D25" s="47" t="n">
        <f aca="false">Supuestos!$E$19</f>
        <v>49</v>
      </c>
      <c r="E25" s="3" t="s">
        <v>972</v>
      </c>
      <c r="F25" s="26" t="n">
        <f aca="false">IFERROR(H25/G25,0)</f>
        <v>2.18904226831897</v>
      </c>
      <c r="G25" s="22" t="n">
        <f aca="false">$B$8</f>
        <v>228624</v>
      </c>
      <c r="H25" s="23" t="n">
        <f aca="false">Cascada!C62*((Supuestos!$E$19-Supuestos!$D$19)*$B$9+(Supuestos!$E$20-Supuestos!$D$20)*$B$10+(Supuestos!$E$21-Supuestos!$D$21)*$B$11+(Supuestos!$E$22-Supuestos!$D$22)*$B$12)</f>
        <v>500467.599552155</v>
      </c>
      <c r="I25" s="3" t="s">
        <v>973</v>
      </c>
    </row>
    <row r="26" customFormat="false" ht="15" hidden="false" customHeight="true" outlineLevel="0" collapsed="false">
      <c r="A26" s="22" t="n">
        <v>12</v>
      </c>
      <c r="B26" s="5" t="s">
        <v>974</v>
      </c>
      <c r="C26" s="20" t="n">
        <f aca="false">Supuestos!$D$84</f>
        <v>0.05</v>
      </c>
      <c r="D26" s="20" t="n">
        <f aca="false">Supuestos!$E$84</f>
        <v>0.07</v>
      </c>
      <c r="E26" s="3" t="s">
        <v>975</v>
      </c>
      <c r="F26" s="26" t="n">
        <f aca="false">IFERROR(H26/G26,0)</f>
        <v>0.155818180076628</v>
      </c>
      <c r="G26" s="22" t="n">
        <f aca="false">$B$8</f>
        <v>228624</v>
      </c>
      <c r="H26" s="23" t="n">
        <f aca="false">((Supuestos!$E$81-Supuestos!$D$81)*Cascada!C63+(Supuestos!$E$82-Supuestos!$D$82)*Cascada!C64+(Supuestos!$E$83-Supuestos!$D$83)*Cascada!C65+(Supuestos!$E$84-Supuestos!$D$84)*Cascada!C66)*$B$8</f>
        <v>35623.775601839</v>
      </c>
      <c r="I26" s="3" t="s">
        <v>976</v>
      </c>
    </row>
    <row r="27" customFormat="false" ht="15" hidden="false" customHeight="true" outlineLevel="0" collapsed="false">
      <c r="B27" s="81" t="s">
        <v>977</v>
      </c>
      <c r="H27" s="82" t="n">
        <f aca="false">SUM(H15:H26)</f>
        <v>1816799.0722817</v>
      </c>
    </row>
    <row r="28" customFormat="false" ht="15" hidden="false" customHeight="true" outlineLevel="0" collapsed="false">
      <c r="B28" s="5" t="s">
        <v>978</v>
      </c>
      <c r="H28" s="26" t="n">
        <f aca="false">Cascada!B67</f>
        <v>-2.45062082497406</v>
      </c>
    </row>
    <row r="29" customFormat="false" ht="15" hidden="false" customHeight="true" outlineLevel="0" collapsed="false">
      <c r="B29" s="5" t="s">
        <v>979</v>
      </c>
      <c r="H29" s="26" t="n">
        <f aca="false">Cascada!C67</f>
        <v>7.20902998270268</v>
      </c>
    </row>
    <row r="31" customFormat="false" ht="15" hidden="false" customHeight="true" outlineLevel="0" collapsed="false">
      <c r="A31" s="28" t="s">
        <v>980</v>
      </c>
      <c r="B31" s="29"/>
      <c r="C31" s="29"/>
      <c r="D31" s="29"/>
      <c r="E31" s="29"/>
      <c r="F31" s="29"/>
      <c r="G31" s="29"/>
      <c r="H31" s="29"/>
      <c r="I31" s="29"/>
    </row>
    <row r="32" customFormat="false" ht="15" hidden="false" customHeight="true" outlineLevel="0" collapsed="false">
      <c r="B32" s="5" t="s">
        <v>981</v>
      </c>
      <c r="H32" s="37" t="n">
        <f aca="false">Costeo!C32</f>
        <v>0.291666666666667</v>
      </c>
    </row>
    <row r="33" customFormat="false" ht="15" hidden="false" customHeight="true" outlineLevel="0" collapsed="false">
      <c r="B33" s="5" t="s">
        <v>982</v>
      </c>
      <c r="H33" s="37" t="n">
        <f aca="false">comp_sem_hora</f>
        <v>0.207738095238095</v>
      </c>
    </row>
    <row r="34" customFormat="false" ht="15" hidden="false" customHeight="true" outlineLevel="0" collapsed="false">
      <c r="B34" s="5" t="s">
        <v>983</v>
      </c>
      <c r="H34" s="31" t="n">
        <f aca="false">gph</f>
        <v>2.3</v>
      </c>
    </row>
    <row r="35" customFormat="false" ht="15" hidden="false" customHeight="true" outlineLevel="0" collapsed="false">
      <c r="B35" s="5" t="s">
        <v>99</v>
      </c>
      <c r="H35" s="24" t="n">
        <f aca="false">gramos_sem</f>
        <v>397.992</v>
      </c>
    </row>
    <row r="36" customFormat="false" ht="15" hidden="false" customHeight="true" outlineLevel="0" collapsed="false">
      <c r="B36" s="5" t="s">
        <v>984</v>
      </c>
      <c r="H36" s="25" t="n">
        <f aca="false">Costeo!C34</f>
        <v>0.58267205089831</v>
      </c>
    </row>
    <row r="37" customFormat="false" ht="15" hidden="false" customHeight="true" outlineLevel="0" collapsed="false">
      <c r="B37" s="5" t="s">
        <v>985</v>
      </c>
      <c r="H37" s="25" t="n">
        <f aca="false">Costeo!C33</f>
        <v>0.208279764180053</v>
      </c>
    </row>
    <row r="38" customFormat="false" ht="15" hidden="false" customHeight="true" outlineLevel="0" collapsed="false">
      <c r="B38" s="5" t="s">
        <v>986</v>
      </c>
      <c r="H38" s="37" t="n">
        <f aca="false">Costeo!C19</f>
        <v>0.25</v>
      </c>
    </row>
    <row r="39" customFormat="false" ht="15" hidden="false" customHeight="true" outlineLevel="0" collapsed="false">
      <c r="B39" s="5" t="s">
        <v>987</v>
      </c>
      <c r="H39" s="37" t="n">
        <f aca="false">Costeo!D19</f>
        <v>0.111111111111111</v>
      </c>
    </row>
    <row r="40" customFormat="false" ht="15" hidden="false" customHeight="true" outlineLevel="0" collapsed="false">
      <c r="B40" s="5" t="s">
        <v>988</v>
      </c>
      <c r="H40" s="25" t="n">
        <f aca="false">Cascada!B22</f>
        <v>0.110793196143983</v>
      </c>
    </row>
    <row r="41" customFormat="false" ht="15" hidden="false" customHeight="true" outlineLevel="0" collapsed="false">
      <c r="B41" s="5" t="s">
        <v>989</v>
      </c>
      <c r="H41" s="37" t="n">
        <f aca="false">IFERROR(u_pond/(gramos_sem/1000),0)</f>
        <v>18.1135047506047</v>
      </c>
    </row>
    <row r="42" customFormat="false" ht="15" hidden="false" customHeight="true" outlineLevel="0" collapsed="false">
      <c r="B42" s="5" t="s">
        <v>990</v>
      </c>
      <c r="H42" s="37" t="n">
        <f aca="false">u_rep-u_sem</f>
        <v>-2.44449157088122</v>
      </c>
    </row>
    <row r="44" customFormat="false" ht="15" hidden="false" customHeight="true" outlineLevel="0" collapsed="false">
      <c r="A44" s="28" t="s">
        <v>991</v>
      </c>
      <c r="B44" s="29"/>
      <c r="C44" s="29"/>
      <c r="D44" s="29"/>
      <c r="E44" s="29"/>
      <c r="F44" s="29"/>
      <c r="G44" s="29"/>
      <c r="H44" s="29"/>
      <c r="I44" s="29"/>
    </row>
    <row r="45" customFormat="false" ht="15" hidden="false" customHeight="true" outlineLevel="0" collapsed="false">
      <c r="B45" s="5" t="s">
        <v>992</v>
      </c>
    </row>
    <row r="46" customFormat="false" ht="15" hidden="false" customHeight="true" outlineLevel="0" collapsed="false">
      <c r="B46" s="5" t="s">
        <v>993</v>
      </c>
    </row>
    <row r="47" customFormat="false" ht="15" hidden="false" customHeight="true" outlineLevel="0" collapsed="false">
      <c r="B47" s="5" t="s">
        <v>994</v>
      </c>
    </row>
    <row r="48" customFormat="false" ht="15" hidden="false" customHeight="true" outlineLevel="0" collapsed="false">
      <c r="B48" s="5" t="s">
        <v>995</v>
      </c>
    </row>
    <row r="49" customFormat="false" ht="15" hidden="false" customHeight="true" outlineLevel="0" collapsed="false">
      <c r="B49" s="5" t="s">
        <v>996</v>
      </c>
    </row>
    <row r="50" customFormat="false" ht="15" hidden="false" customHeight="true" outlineLevel="0" collapsed="false">
      <c r="B50" s="5" t="s">
        <v>997</v>
      </c>
    </row>
    <row r="51" customFormat="false" ht="15" hidden="false" customHeight="true" outlineLevel="0" collapsed="false">
      <c r="B51" s="5" t="s">
        <v>998</v>
      </c>
    </row>
    <row r="52" customFormat="false" ht="15" hidden="false" customHeight="true" outlineLevel="0" collapsed="false">
      <c r="B52" s="5" t="s">
        <v>999</v>
      </c>
    </row>
    <row r="53" customFormat="false" ht="15" hidden="false" customHeight="true" outlineLevel="0" collapsed="false">
      <c r="B53" s="5" t="s">
        <v>1000</v>
      </c>
    </row>
    <row r="54" customFormat="false" ht="15" hidden="false" customHeight="true" outlineLevel="0" collapsed="false">
      <c r="B54" s="5" t="s">
        <v>1001</v>
      </c>
    </row>
    <row r="55" customFormat="false" ht="15" hidden="false" customHeight="true" outlineLevel="0" collapsed="false">
      <c r="B55" s="5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3"/>
  </cols>
  <sheetData>
    <row r="1" customFormat="false" ht="18" hidden="false" customHeight="true" outlineLevel="0" collapsed="false">
      <c r="A1" s="2" t="s">
        <v>1003</v>
      </c>
    </row>
    <row r="2" customFormat="false" ht="15" hidden="false" customHeight="true" outlineLevel="0" collapsed="false">
      <c r="A2" s="3" t="s">
        <v>1004</v>
      </c>
    </row>
    <row r="4" customFormat="false" ht="15" hidden="false" customHeight="true" outlineLevel="0" collapsed="false">
      <c r="A4" s="4" t="s">
        <v>1005</v>
      </c>
    </row>
    <row r="5" customFormat="false" ht="15" hidden="false" customHeight="true" outlineLevel="0" collapsed="false">
      <c r="A5" s="5" t="s">
        <v>1006</v>
      </c>
      <c r="B5" s="24" t="n">
        <f aca="false">gramos_sem</f>
        <v>397.992</v>
      </c>
    </row>
    <row r="6" customFormat="false" ht="15" hidden="false" customHeight="true" outlineLevel="0" collapsed="false">
      <c r="A6" s="5" t="s">
        <v>1007</v>
      </c>
      <c r="B6" s="37" t="n">
        <f aca="false">Costeo!C20-Costeo!C10</f>
        <v>5.95</v>
      </c>
    </row>
    <row r="7" customFormat="false" ht="15" hidden="false" customHeight="true" outlineLevel="0" collapsed="false">
      <c r="A7" s="5" t="s">
        <v>1008</v>
      </c>
      <c r="B7" s="37" t="n">
        <f aca="false">IF(mes_planta&lt;=meses_horizonte,Costeo!C25,Costeo!C24)</f>
        <v>2.2</v>
      </c>
    </row>
    <row r="8" customFormat="false" ht="15" hidden="false" customHeight="true" outlineLevel="0" collapsed="false">
      <c r="A8" s="5" t="s">
        <v>1009</v>
      </c>
      <c r="B8" s="25" t="n">
        <f aca="false">(1-m_tienda)*(1-m_dist)/(1+iva)</f>
        <v>0.522327586206897</v>
      </c>
    </row>
    <row r="9" customFormat="false" ht="15" hidden="false" customHeight="true" outlineLevel="0" collapsed="false">
      <c r="A9" s="5" t="s">
        <v>1010</v>
      </c>
      <c r="B9" s="37" t="n">
        <f aca="false">u_pond-net_pond*pct_marketing-pct_garantia*cost_pond-pct_qr*costo_registro</f>
        <v>6.08845615321936</v>
      </c>
    </row>
    <row r="10" customFormat="false" ht="15" hidden="false" customHeight="true" outlineLevel="0" collapsed="false">
      <c r="A10" s="5" t="s">
        <v>1011</v>
      </c>
      <c r="B10" s="23" t="n">
        <f aca="false">Resultados!AN62/12</f>
        <v>109250</v>
      </c>
    </row>
    <row r="12" customFormat="false" ht="15" hidden="false" customHeight="true" outlineLevel="0" collapsed="false">
      <c r="A12" s="4" t="s">
        <v>1012</v>
      </c>
    </row>
    <row r="13" customFormat="false" ht="15" hidden="false" customHeight="true" outlineLevel="0" collapsed="false">
      <c r="A13" s="3" t="s">
        <v>1013</v>
      </c>
    </row>
    <row r="14" customFormat="false" ht="15" hidden="false" customHeight="true" outlineLevel="0" collapsed="false">
      <c r="B14" s="84" t="n">
        <v>39</v>
      </c>
      <c r="C14" s="84" t="n">
        <v>42</v>
      </c>
      <c r="D14" s="84" t="n">
        <v>45</v>
      </c>
      <c r="E14" s="84" t="n">
        <v>49</v>
      </c>
      <c r="F14" s="84" t="n">
        <v>52</v>
      </c>
      <c r="G14" s="84" t="n">
        <v>55</v>
      </c>
      <c r="H14" s="84" t="n">
        <v>59</v>
      </c>
    </row>
    <row r="15" customFormat="false" ht="15" hidden="false" customHeight="true" outlineLevel="0" collapsed="false">
      <c r="A15" s="84" t="n">
        <v>20</v>
      </c>
      <c r="B15" s="26" t="n">
        <f aca="false">B$14*$B$8-(($B$5/1000*$A15+$B$6)*(1+merma)+$B$7)</f>
        <v>4.05228826206897</v>
      </c>
      <c r="C15" s="26" t="n">
        <f aca="false">C$14*$B$8-(($B$5/1000*$A15+$B$6)*(1+merma)+$B$7)</f>
        <v>5.61927102068966</v>
      </c>
      <c r="D15" s="26" t="n">
        <f aca="false">D$14*$B$8-(($B$5/1000*$A15+$B$6)*(1+merma)+$B$7)</f>
        <v>7.18625377931035</v>
      </c>
      <c r="E15" s="26" t="n">
        <f aca="false">E$14*$B$8-(($B$5/1000*$A15+$B$6)*(1+merma)+$B$7)</f>
        <v>9.27556412413793</v>
      </c>
      <c r="F15" s="26" t="n">
        <f aca="false">F$14*$B$8-(($B$5/1000*$A15+$B$6)*(1+merma)+$B$7)</f>
        <v>10.8425468827586</v>
      </c>
      <c r="G15" s="26" t="n">
        <f aca="false">G$14*$B$8-(($B$5/1000*$A15+$B$6)*(1+merma)+$B$7)</f>
        <v>12.4095296413793</v>
      </c>
      <c r="H15" s="26" t="n">
        <f aca="false">H$14*$B$8-(($B$5/1000*$A15+$B$6)*(1+merma)+$B$7)</f>
        <v>14.4988399862069</v>
      </c>
    </row>
    <row r="16" customFormat="false" ht="15" hidden="false" customHeight="true" outlineLevel="0" collapsed="false">
      <c r="A16" s="84" t="n">
        <v>23</v>
      </c>
      <c r="B16" s="26" t="n">
        <f aca="false">B$14*$B$8-(($B$5/1000*$A16+$B$6)*(1+merma)+$B$7)</f>
        <v>2.84040262206897</v>
      </c>
      <c r="C16" s="26" t="n">
        <f aca="false">C$14*$B$8-(($B$5/1000*$A16+$B$6)*(1+merma)+$B$7)</f>
        <v>4.40738538068966</v>
      </c>
      <c r="D16" s="26" t="n">
        <f aca="false">D$14*$B$8-(($B$5/1000*$A16+$B$6)*(1+merma)+$B$7)</f>
        <v>5.97436813931035</v>
      </c>
      <c r="E16" s="26" t="n">
        <f aca="false">E$14*$B$8-(($B$5/1000*$A16+$B$6)*(1+merma)+$B$7)</f>
        <v>8.06367848413793</v>
      </c>
      <c r="F16" s="26" t="n">
        <f aca="false">F$14*$B$8-(($B$5/1000*$A16+$B$6)*(1+merma)+$B$7)</f>
        <v>9.63066124275862</v>
      </c>
      <c r="G16" s="26" t="n">
        <f aca="false">G$14*$B$8-(($B$5/1000*$A16+$B$6)*(1+merma)+$B$7)</f>
        <v>11.1976440013793</v>
      </c>
      <c r="H16" s="26" t="n">
        <f aca="false">H$14*$B$8-(($B$5/1000*$A16+$B$6)*(1+merma)+$B$7)</f>
        <v>13.2869543462069</v>
      </c>
    </row>
    <row r="17" customFormat="false" ht="15" hidden="false" customHeight="true" outlineLevel="0" collapsed="false">
      <c r="A17" s="84" t="n">
        <v>26</v>
      </c>
      <c r="B17" s="26" t="n">
        <f aca="false">B$14*$B$8-(($B$5/1000*$A17+$B$6)*(1+merma)+$B$7)</f>
        <v>1.62851698206897</v>
      </c>
      <c r="C17" s="26" t="n">
        <f aca="false">C$14*$B$8-(($B$5/1000*$A17+$B$6)*(1+merma)+$B$7)</f>
        <v>3.19549974068966</v>
      </c>
      <c r="D17" s="26" t="n">
        <f aca="false">D$14*$B$8-(($B$5/1000*$A17+$B$6)*(1+merma)+$B$7)</f>
        <v>4.76248249931035</v>
      </c>
      <c r="E17" s="26" t="n">
        <f aca="false">E$14*$B$8-(($B$5/1000*$A17+$B$6)*(1+merma)+$B$7)</f>
        <v>6.85179284413793</v>
      </c>
      <c r="F17" s="26" t="n">
        <f aca="false">F$14*$B$8-(($B$5/1000*$A17+$B$6)*(1+merma)+$B$7)</f>
        <v>8.41877560275863</v>
      </c>
      <c r="G17" s="26" t="n">
        <f aca="false">G$14*$B$8-(($B$5/1000*$A17+$B$6)*(1+merma)+$B$7)</f>
        <v>9.98575836137932</v>
      </c>
      <c r="H17" s="26" t="n">
        <f aca="false">H$14*$B$8-(($B$5/1000*$A17+$B$6)*(1+merma)+$B$7)</f>
        <v>12.0750687062069</v>
      </c>
    </row>
    <row r="18" customFormat="false" ht="15" hidden="false" customHeight="true" outlineLevel="0" collapsed="false">
      <c r="A18" s="84" t="n">
        <v>29</v>
      </c>
      <c r="B18" s="26" t="n">
        <f aca="false">B$14*$B$8-(($B$5/1000*$A18+$B$6)*(1+merma)+$B$7)</f>
        <v>0.416631342068971</v>
      </c>
      <c r="C18" s="26" t="n">
        <f aca="false">C$14*$B$8-(($B$5/1000*$A18+$B$6)*(1+merma)+$B$7)</f>
        <v>1.98361410068966</v>
      </c>
      <c r="D18" s="26" t="n">
        <f aca="false">D$14*$B$8-(($B$5/1000*$A18+$B$6)*(1+merma)+$B$7)</f>
        <v>3.55059685931035</v>
      </c>
      <c r="E18" s="26" t="n">
        <f aca="false">E$14*$B$8-(($B$5/1000*$A18+$B$6)*(1+merma)+$B$7)</f>
        <v>5.63990720413793</v>
      </c>
      <c r="F18" s="26" t="n">
        <f aca="false">F$14*$B$8-(($B$5/1000*$A18+$B$6)*(1+merma)+$B$7)</f>
        <v>7.20688996275863</v>
      </c>
      <c r="G18" s="26" t="n">
        <f aca="false">G$14*$B$8-(($B$5/1000*$A18+$B$6)*(1+merma)+$B$7)</f>
        <v>8.77387272137932</v>
      </c>
      <c r="H18" s="26" t="n">
        <f aca="false">H$14*$B$8-(($B$5/1000*$A18+$B$6)*(1+merma)+$B$7)</f>
        <v>10.8631830662069</v>
      </c>
    </row>
    <row r="19" customFormat="false" ht="15" hidden="false" customHeight="true" outlineLevel="0" collapsed="false">
      <c r="A19" s="84" t="n">
        <v>32</v>
      </c>
      <c r="B19" s="26" t="n">
        <f aca="false">B$14*$B$8-(($B$5/1000*$A19+$B$6)*(1+merma)+$B$7)</f>
        <v>-0.795254297931031</v>
      </c>
      <c r="C19" s="26" t="n">
        <f aca="false">C$14*$B$8-(($B$5/1000*$A19+$B$6)*(1+merma)+$B$7)</f>
        <v>0.771728460689658</v>
      </c>
      <c r="D19" s="26" t="n">
        <f aca="false">D$14*$B$8-(($B$5/1000*$A19+$B$6)*(1+merma)+$B$7)</f>
        <v>2.33871121931035</v>
      </c>
      <c r="E19" s="26" t="n">
        <f aca="false">E$14*$B$8-(($B$5/1000*$A19+$B$6)*(1+merma)+$B$7)</f>
        <v>4.42802156413793</v>
      </c>
      <c r="F19" s="26" t="n">
        <f aca="false">F$14*$B$8-(($B$5/1000*$A19+$B$6)*(1+merma)+$B$7)</f>
        <v>5.99500432275863</v>
      </c>
      <c r="G19" s="26" t="n">
        <f aca="false">G$14*$B$8-(($B$5/1000*$A19+$B$6)*(1+merma)+$B$7)</f>
        <v>7.56198708137931</v>
      </c>
      <c r="H19" s="26" t="n">
        <f aca="false">H$14*$B$8-(($B$5/1000*$A19+$B$6)*(1+merma)+$B$7)</f>
        <v>9.6512974262069</v>
      </c>
    </row>
    <row r="20" customFormat="false" ht="15" hidden="false" customHeight="true" outlineLevel="0" collapsed="false">
      <c r="A20" s="84" t="n">
        <v>35</v>
      </c>
      <c r="B20" s="26" t="n">
        <f aca="false">B$14*$B$8-(($B$5/1000*$A20+$B$6)*(1+merma)+$B$7)</f>
        <v>-2.00713993793103</v>
      </c>
      <c r="C20" s="26" t="n">
        <f aca="false">C$14*$B$8-(($B$5/1000*$A20+$B$6)*(1+merma)+$B$7)</f>
        <v>-0.44015717931034</v>
      </c>
      <c r="D20" s="26" t="n">
        <f aca="false">D$14*$B$8-(($B$5/1000*$A20+$B$6)*(1+merma)+$B$7)</f>
        <v>1.12682557931035</v>
      </c>
      <c r="E20" s="26" t="n">
        <f aca="false">E$14*$B$8-(($B$5/1000*$A20+$B$6)*(1+merma)+$B$7)</f>
        <v>3.21613592413793</v>
      </c>
      <c r="F20" s="26" t="n">
        <f aca="false">F$14*$B$8-(($B$5/1000*$A20+$B$6)*(1+merma)+$B$7)</f>
        <v>4.78311868275863</v>
      </c>
      <c r="G20" s="26" t="n">
        <f aca="false">G$14*$B$8-(($B$5/1000*$A20+$B$6)*(1+merma)+$B$7)</f>
        <v>6.35010144137932</v>
      </c>
      <c r="H20" s="26" t="n">
        <f aca="false">H$14*$B$8-(($B$5/1000*$A20+$B$6)*(1+merma)+$B$7)</f>
        <v>8.4394117862069</v>
      </c>
    </row>
    <row r="21" customFormat="false" ht="15" hidden="false" customHeight="true" outlineLevel="0" collapsed="false">
      <c r="A21" s="84" t="n">
        <v>38</v>
      </c>
      <c r="B21" s="26" t="n">
        <f aca="false">B$14*$B$8-(($B$5/1000*$A21+$B$6)*(1+merma)+$B$7)</f>
        <v>-3.21902557793103</v>
      </c>
      <c r="C21" s="26" t="n">
        <f aca="false">C$14*$B$8-(($B$5/1000*$A21+$B$6)*(1+merma)+$B$7)</f>
        <v>-1.65204281931034</v>
      </c>
      <c r="D21" s="26" t="n">
        <f aca="false">D$14*$B$8-(($B$5/1000*$A21+$B$6)*(1+merma)+$B$7)</f>
        <v>-0.0850600606896492</v>
      </c>
      <c r="E21" s="26" t="n">
        <f aca="false">E$14*$B$8-(($B$5/1000*$A21+$B$6)*(1+merma)+$B$7)</f>
        <v>2.00425028413794</v>
      </c>
      <c r="F21" s="26" t="n">
        <f aca="false">F$14*$B$8-(($B$5/1000*$A21+$B$6)*(1+merma)+$B$7)</f>
        <v>3.57123304275863</v>
      </c>
      <c r="G21" s="26" t="n">
        <f aca="false">G$14*$B$8-(($B$5/1000*$A21+$B$6)*(1+merma)+$B$7)</f>
        <v>5.13821580137932</v>
      </c>
      <c r="H21" s="26" t="n">
        <f aca="false">H$14*$B$8-(($B$5/1000*$A21+$B$6)*(1+merma)+$B$7)</f>
        <v>7.2275261462069</v>
      </c>
    </row>
    <row r="22" customFormat="false" ht="15" hidden="false" customHeight="true" outlineLevel="0" collapsed="false">
      <c r="A22" s="84" t="n">
        <v>41</v>
      </c>
      <c r="B22" s="26" t="n">
        <f aca="false">B$14*$B$8-(($B$5/1000*$A22+$B$6)*(1+merma)+$B$7)</f>
        <v>-4.43091121793103</v>
      </c>
      <c r="C22" s="26" t="n">
        <f aca="false">C$14*$B$8-(($B$5/1000*$A22+$B$6)*(1+merma)+$B$7)</f>
        <v>-2.86392845931034</v>
      </c>
      <c r="D22" s="26" t="n">
        <f aca="false">D$14*$B$8-(($B$5/1000*$A22+$B$6)*(1+merma)+$B$7)</f>
        <v>-1.29694570068965</v>
      </c>
      <c r="E22" s="26" t="n">
        <f aca="false">E$14*$B$8-(($B$5/1000*$A22+$B$6)*(1+merma)+$B$7)</f>
        <v>0.792364644137937</v>
      </c>
      <c r="F22" s="26" t="n">
        <f aca="false">F$14*$B$8-(($B$5/1000*$A22+$B$6)*(1+merma)+$B$7)</f>
        <v>2.35934740275863</v>
      </c>
      <c r="G22" s="26" t="n">
        <f aca="false">G$14*$B$8-(($B$5/1000*$A22+$B$6)*(1+merma)+$B$7)</f>
        <v>3.92633016137932</v>
      </c>
      <c r="H22" s="26" t="n">
        <f aca="false">H$14*$B$8-(($B$5/1000*$A22+$B$6)*(1+merma)+$B$7)</f>
        <v>6.0156405062069</v>
      </c>
    </row>
    <row r="24" customFormat="false" ht="15" hidden="false" customHeight="true" outlineLevel="0" collapsed="false">
      <c r="A24" s="4" t="s">
        <v>1014</v>
      </c>
    </row>
    <row r="25" customFormat="false" ht="15" hidden="false" customHeight="true" outlineLevel="0" collapsed="false">
      <c r="A25" s="3" t="s">
        <v>1015</v>
      </c>
    </row>
    <row r="26" customFormat="false" ht="15" hidden="false" customHeight="true" outlineLevel="0" collapsed="false">
      <c r="B26" s="85" t="n">
        <v>0.1</v>
      </c>
      <c r="C26" s="85" t="n">
        <v>0.125</v>
      </c>
      <c r="D26" s="85" t="n">
        <v>0.15</v>
      </c>
      <c r="E26" s="85" t="n">
        <v>0.175</v>
      </c>
      <c r="F26" s="85" t="n">
        <v>0.2</v>
      </c>
      <c r="G26" s="85" t="n">
        <v>0.225</v>
      </c>
      <c r="H26" s="85" t="n">
        <v>0.25</v>
      </c>
    </row>
    <row r="27" customFormat="false" ht="15" hidden="false" customHeight="true" outlineLevel="0" collapsed="false">
      <c r="A27" s="85" t="n">
        <v>0.2</v>
      </c>
      <c r="B27" s="26" t="n">
        <f aca="false">p_sem*(1-$A27)*(1-B$26)/(1+iva)-cost_sem</f>
        <v>10.2486079903655</v>
      </c>
      <c r="C27" s="26" t="n">
        <f aca="false">p_sem*(1-$A27)*(1-C$26)/(1+iva)-cost_sem</f>
        <v>9.40378040415862</v>
      </c>
      <c r="D27" s="26" t="n">
        <f aca="false">p_sem*(1-$A27)*(1-D$26)/(1+iva)-cost_sem</f>
        <v>8.55895281795172</v>
      </c>
      <c r="E27" s="26" t="n">
        <f aca="false">p_sem*(1-$A27)*(1-E$26)/(1+iva)-cost_sem</f>
        <v>7.71412523174483</v>
      </c>
      <c r="F27" s="26" t="n">
        <f aca="false">p_sem*(1-$A27)*(1-F$26)/(1+iva)-cost_sem</f>
        <v>6.86929764553793</v>
      </c>
      <c r="G27" s="26" t="n">
        <f aca="false">p_sem*(1-$A27)*(1-G$26)/(1+iva)-cost_sem</f>
        <v>6.02447005933104</v>
      </c>
      <c r="H27" s="26" t="n">
        <f aca="false">p_sem*(1-$A27)*(1-H$26)/(1+iva)-cost_sem</f>
        <v>5.17964247312414</v>
      </c>
    </row>
    <row r="28" customFormat="false" ht="15" hidden="false" customHeight="true" outlineLevel="0" collapsed="false">
      <c r="A28" s="85" t="n">
        <v>0.225</v>
      </c>
      <c r="B28" s="26" t="n">
        <f aca="false">p_sem*(1-$A28)*(1-B$26)/(1+iva)-cost_sem</f>
        <v>9.29817695588276</v>
      </c>
      <c r="C28" s="26" t="n">
        <f aca="false">p_sem*(1-$A28)*(1-C$26)/(1+iva)-cost_sem</f>
        <v>8.47975023174483</v>
      </c>
      <c r="D28" s="26" t="n">
        <f aca="false">p_sem*(1-$A28)*(1-D$26)/(1+iva)-cost_sem</f>
        <v>7.6613235076069</v>
      </c>
      <c r="E28" s="26" t="n">
        <f aca="false">p_sem*(1-$A28)*(1-E$26)/(1+iva)-cost_sem</f>
        <v>6.84289678346897</v>
      </c>
      <c r="F28" s="26" t="n">
        <f aca="false">p_sem*(1-$A28)*(1-F$26)/(1+iva)-cost_sem</f>
        <v>6.02447005933104</v>
      </c>
      <c r="G28" s="26" t="n">
        <f aca="false">p_sem*(1-$A28)*(1-G$26)/(1+iva)-cost_sem</f>
        <v>5.20604333519311</v>
      </c>
      <c r="H28" s="26" t="n">
        <f aca="false">p_sem*(1-$A28)*(1-H$26)/(1+iva)-cost_sem</f>
        <v>4.38761661105518</v>
      </c>
    </row>
    <row r="29" customFormat="false" ht="15" hidden="false" customHeight="true" outlineLevel="0" collapsed="false">
      <c r="A29" s="85" t="n">
        <v>0.25</v>
      </c>
      <c r="B29" s="26" t="n">
        <f aca="false">p_sem*(1-$A29)*(1-B$26)/(1+iva)-cost_sem</f>
        <v>8.3477459214</v>
      </c>
      <c r="C29" s="26" t="n">
        <f aca="false">p_sem*(1-$A29)*(1-C$26)/(1+iva)-cost_sem</f>
        <v>7.55572005933103</v>
      </c>
      <c r="D29" s="26" t="n">
        <f aca="false">p_sem*(1-$A29)*(1-D$26)/(1+iva)-cost_sem</f>
        <v>6.76369419726207</v>
      </c>
      <c r="E29" s="26" t="n">
        <f aca="false">p_sem*(1-$A29)*(1-E$26)/(1+iva)-cost_sem</f>
        <v>5.9716683351931</v>
      </c>
      <c r="F29" s="26" t="n">
        <f aca="false">p_sem*(1-$A29)*(1-F$26)/(1+iva)-cost_sem</f>
        <v>5.17964247312414</v>
      </c>
      <c r="G29" s="26" t="n">
        <f aca="false">p_sem*(1-$A29)*(1-G$26)/(1+iva)-cost_sem</f>
        <v>4.38761661105517</v>
      </c>
      <c r="H29" s="26" t="n">
        <f aca="false">p_sem*(1-$A29)*(1-H$26)/(1+iva)-cost_sem</f>
        <v>3.59559074898621</v>
      </c>
    </row>
    <row r="30" customFormat="false" ht="15" hidden="false" customHeight="true" outlineLevel="0" collapsed="false">
      <c r="A30" s="85" t="n">
        <v>0.275</v>
      </c>
      <c r="B30" s="26" t="n">
        <f aca="false">p_sem*(1-$A30)*(1-B$26)/(1+iva)-cost_sem</f>
        <v>7.39731488691724</v>
      </c>
      <c r="C30" s="26" t="n">
        <f aca="false">p_sem*(1-$A30)*(1-C$26)/(1+iva)-cost_sem</f>
        <v>6.63168988691724</v>
      </c>
      <c r="D30" s="26" t="n">
        <f aca="false">p_sem*(1-$A30)*(1-D$26)/(1+iva)-cost_sem</f>
        <v>5.86606488691724</v>
      </c>
      <c r="E30" s="26" t="n">
        <f aca="false">p_sem*(1-$A30)*(1-E$26)/(1+iva)-cost_sem</f>
        <v>5.10043988691724</v>
      </c>
      <c r="F30" s="26" t="n">
        <f aca="false">p_sem*(1-$A30)*(1-F$26)/(1+iva)-cost_sem</f>
        <v>4.33481488691724</v>
      </c>
      <c r="G30" s="26" t="n">
        <f aca="false">p_sem*(1-$A30)*(1-G$26)/(1+iva)-cost_sem</f>
        <v>3.56918988691724</v>
      </c>
      <c r="H30" s="26" t="n">
        <f aca="false">p_sem*(1-$A30)*(1-H$26)/(1+iva)-cost_sem</f>
        <v>2.80356488691724</v>
      </c>
    </row>
    <row r="31" customFormat="false" ht="15" hidden="false" customHeight="true" outlineLevel="0" collapsed="false">
      <c r="A31" s="85" t="n">
        <v>0.3</v>
      </c>
      <c r="B31" s="26" t="n">
        <f aca="false">p_sem*(1-$A31)*(1-B$26)/(1+iva)-cost_sem</f>
        <v>6.44688385243448</v>
      </c>
      <c r="C31" s="26" t="n">
        <f aca="false">p_sem*(1-$A31)*(1-C$26)/(1+iva)-cost_sem</f>
        <v>5.70765971450345</v>
      </c>
      <c r="D31" s="26" t="n">
        <f aca="false">p_sem*(1-$A31)*(1-D$26)/(1+iva)-cost_sem</f>
        <v>4.96843557657241</v>
      </c>
      <c r="E31" s="26" t="n">
        <f aca="false">p_sem*(1-$A31)*(1-E$26)/(1+iva)-cost_sem</f>
        <v>4.22921143864138</v>
      </c>
      <c r="F31" s="26" t="n">
        <f aca="false">p_sem*(1-$A31)*(1-F$26)/(1+iva)-cost_sem</f>
        <v>3.48998730071034</v>
      </c>
      <c r="G31" s="26" t="n">
        <f aca="false">p_sem*(1-$A31)*(1-G$26)/(1+iva)-cost_sem</f>
        <v>2.75076316277931</v>
      </c>
      <c r="H31" s="26" t="n">
        <f aca="false">p_sem*(1-$A31)*(1-H$26)/(1+iva)-cost_sem</f>
        <v>2.01153902484828</v>
      </c>
    </row>
    <row r="32" customFormat="false" ht="15" hidden="false" customHeight="true" outlineLevel="0" collapsed="false">
      <c r="A32" s="85" t="n">
        <v>0.325</v>
      </c>
      <c r="B32" s="26" t="n">
        <f aca="false">p_sem*(1-$A32)*(1-B$26)/(1+iva)-cost_sem</f>
        <v>5.49645281795173</v>
      </c>
      <c r="C32" s="26" t="n">
        <f aca="false">p_sem*(1-$A32)*(1-C$26)/(1+iva)-cost_sem</f>
        <v>4.78362954208966</v>
      </c>
      <c r="D32" s="26" t="n">
        <f aca="false">p_sem*(1-$A32)*(1-D$26)/(1+iva)-cost_sem</f>
        <v>4.07080626622759</v>
      </c>
      <c r="E32" s="26" t="n">
        <f aca="false">p_sem*(1-$A32)*(1-E$26)/(1+iva)-cost_sem</f>
        <v>3.35798299036552</v>
      </c>
      <c r="F32" s="26" t="n">
        <f aca="false">p_sem*(1-$A32)*(1-F$26)/(1+iva)-cost_sem</f>
        <v>2.64515971450345</v>
      </c>
      <c r="G32" s="26" t="n">
        <f aca="false">p_sem*(1-$A32)*(1-G$26)/(1+iva)-cost_sem</f>
        <v>1.93233643864138</v>
      </c>
      <c r="H32" s="26" t="n">
        <f aca="false">p_sem*(1-$A32)*(1-H$26)/(1+iva)-cost_sem</f>
        <v>1.21951316277931</v>
      </c>
    </row>
    <row r="33" customFormat="false" ht="15" hidden="false" customHeight="true" outlineLevel="0" collapsed="false">
      <c r="A33" s="85" t="n">
        <v>0.35</v>
      </c>
      <c r="B33" s="26" t="n">
        <f aca="false">p_sem*(1-$A33)*(1-B$26)/(1+iva)-cost_sem</f>
        <v>4.54602178346897</v>
      </c>
      <c r="C33" s="26" t="n">
        <f aca="false">p_sem*(1-$A33)*(1-C$26)/(1+iva)-cost_sem</f>
        <v>3.85959936967586</v>
      </c>
      <c r="D33" s="26" t="n">
        <f aca="false">p_sem*(1-$A33)*(1-D$26)/(1+iva)-cost_sem</f>
        <v>3.17317695588276</v>
      </c>
      <c r="E33" s="26" t="n">
        <f aca="false">p_sem*(1-$A33)*(1-E$26)/(1+iva)-cost_sem</f>
        <v>2.48675454208966</v>
      </c>
      <c r="F33" s="26" t="n">
        <f aca="false">p_sem*(1-$A33)*(1-F$26)/(1+iva)-cost_sem</f>
        <v>1.80033212829656</v>
      </c>
      <c r="G33" s="26" t="n">
        <f aca="false">p_sem*(1-$A33)*(1-G$26)/(1+iva)-cost_sem</f>
        <v>1.11390971450345</v>
      </c>
      <c r="H33" s="26" t="n">
        <f aca="false">p_sem*(1-$A33)*(1-H$26)/(1+iva)-cost_sem</f>
        <v>0.427487300710347</v>
      </c>
    </row>
    <row r="35" customFormat="false" ht="15" hidden="false" customHeight="true" outlineLevel="0" collapsed="false">
      <c r="A35" s="4" t="s">
        <v>1016</v>
      </c>
    </row>
    <row r="36" customFormat="false" ht="15" hidden="false" customHeight="true" outlineLevel="0" collapsed="false">
      <c r="A36" s="3" t="s">
        <v>1017</v>
      </c>
    </row>
    <row r="37" customFormat="false" ht="15" hidden="false" customHeight="true" outlineLevel="0" collapsed="false">
      <c r="B37" s="86" t="n">
        <v>3</v>
      </c>
      <c r="C37" s="86" t="n">
        <v>5</v>
      </c>
      <c r="D37" s="86" t="n">
        <v>8</v>
      </c>
      <c r="E37" s="86" t="n">
        <v>10</v>
      </c>
      <c r="F37" s="86" t="n">
        <v>12</v>
      </c>
      <c r="G37" s="86" t="n">
        <v>15</v>
      </c>
    </row>
    <row r="38" customFormat="false" ht="15" hidden="false" customHeight="true" outlineLevel="0" collapsed="false">
      <c r="A38" s="86" t="n">
        <v>100</v>
      </c>
      <c r="B38" s="19" t="n">
        <f aca="false">$A38*B$37*semanas_mes*$B$9-$B$10</f>
        <v>-101341.095456968</v>
      </c>
      <c r="C38" s="19" t="n">
        <f aca="false">$A38*C$37*semanas_mes*$B$9-$B$10</f>
        <v>-96068.4924282801</v>
      </c>
      <c r="D38" s="19" t="n">
        <f aca="false">$A38*D$37*semanas_mes*$B$9-$B$10</f>
        <v>-88159.5878852481</v>
      </c>
      <c r="E38" s="19" t="n">
        <f aca="false">$A38*E$37*semanas_mes*$B$9-$B$10</f>
        <v>-82886.9848565602</v>
      </c>
      <c r="F38" s="19" t="n">
        <f aca="false">$A38*F$37*semanas_mes*$B$9-$B$10</f>
        <v>-77614.3818278722</v>
      </c>
      <c r="G38" s="19" t="n">
        <f aca="false">$A38*G$37*semanas_mes*$B$9-$B$10</f>
        <v>-69705.4772848403</v>
      </c>
    </row>
    <row r="39" customFormat="false" ht="15" hidden="false" customHeight="true" outlineLevel="0" collapsed="false">
      <c r="A39" s="86" t="n">
        <v>200</v>
      </c>
      <c r="B39" s="19" t="n">
        <f aca="false">$A39*B$37*semanas_mes*$B$9-$B$10</f>
        <v>-93432.1909139361</v>
      </c>
      <c r="C39" s="19" t="n">
        <f aca="false">$A39*C$37*semanas_mes*$B$9-$B$10</f>
        <v>-82886.9848565602</v>
      </c>
      <c r="D39" s="19" t="n">
        <f aca="false">$A39*D$37*semanas_mes*$B$9-$B$10</f>
        <v>-67069.1757704963</v>
      </c>
      <c r="E39" s="19" t="n">
        <f aca="false">$A39*E$37*semanas_mes*$B$9-$B$10</f>
        <v>-56523.9697131203</v>
      </c>
      <c r="F39" s="19" t="n">
        <f aca="false">$A39*F$37*semanas_mes*$B$9-$B$10</f>
        <v>-45978.7636557444</v>
      </c>
      <c r="G39" s="19" t="n">
        <f aca="false">$A39*G$37*semanas_mes*$B$9-$B$10</f>
        <v>-30160.9545696805</v>
      </c>
    </row>
    <row r="40" customFormat="false" ht="15" hidden="false" customHeight="true" outlineLevel="0" collapsed="false">
      <c r="A40" s="86" t="n">
        <v>300</v>
      </c>
      <c r="B40" s="19" t="n">
        <f aca="false">$A40*B$37*semanas_mes*$B$9-$B$10</f>
        <v>-85523.2863709042</v>
      </c>
      <c r="C40" s="19" t="n">
        <f aca="false">$A40*C$37*semanas_mes*$B$9-$B$10</f>
        <v>-69705.4772848403</v>
      </c>
      <c r="D40" s="19" t="n">
        <f aca="false">$A40*D$37*semanas_mes*$B$9-$B$10</f>
        <v>-45978.7636557444</v>
      </c>
      <c r="E40" s="19" t="n">
        <f aca="false">$A40*E$37*semanas_mes*$B$9-$B$10</f>
        <v>-30160.9545696805</v>
      </c>
      <c r="F40" s="19" t="n">
        <f aca="false">$A40*F$37*semanas_mes*$B$9-$B$10</f>
        <v>-14343.1454836166</v>
      </c>
      <c r="G40" s="19" t="n">
        <f aca="false">$A40*G$37*semanas_mes*$B$9-$B$10</f>
        <v>9383.56814547928</v>
      </c>
    </row>
    <row r="41" customFormat="false" ht="15" hidden="false" customHeight="true" outlineLevel="0" collapsed="false">
      <c r="A41" s="86" t="n">
        <v>500</v>
      </c>
      <c r="B41" s="19" t="n">
        <f aca="false">$A41*B$37*semanas_mes*$B$9-$B$10</f>
        <v>-69705.4772848403</v>
      </c>
      <c r="C41" s="19" t="n">
        <f aca="false">$A41*C$37*semanas_mes*$B$9-$B$10</f>
        <v>-43342.4621414004</v>
      </c>
      <c r="D41" s="19" t="n">
        <f aca="false">$A41*D$37*semanas_mes*$B$9-$B$10</f>
        <v>-3797.93942624064</v>
      </c>
      <c r="E41" s="19" t="n">
        <f aca="false">$A41*E$37*semanas_mes*$B$9-$B$10</f>
        <v>22565.0757171992</v>
      </c>
      <c r="F41" s="19" t="n">
        <f aca="false">$A41*F$37*semanas_mes*$B$9-$B$10</f>
        <v>48928.090860639</v>
      </c>
      <c r="G41" s="19" t="n">
        <f aca="false">$A41*G$37*semanas_mes*$B$9-$B$10</f>
        <v>88472.6135757988</v>
      </c>
    </row>
    <row r="42" customFormat="false" ht="15" hidden="false" customHeight="true" outlineLevel="0" collapsed="false">
      <c r="A42" s="86" t="n">
        <v>700</v>
      </c>
      <c r="B42" s="19" t="n">
        <f aca="false">$A42*B$37*semanas_mes*$B$9-$B$10</f>
        <v>-53887.6681987763</v>
      </c>
      <c r="C42" s="19" t="n">
        <f aca="false">$A42*C$37*semanas_mes*$B$9-$B$10</f>
        <v>-16979.4469979606</v>
      </c>
      <c r="D42" s="19" t="n">
        <f aca="false">$A42*D$37*semanas_mes*$B$9-$B$10</f>
        <v>38382.8848032631</v>
      </c>
      <c r="E42" s="19" t="n">
        <f aca="false">$A42*E$37*semanas_mes*$B$9-$B$10</f>
        <v>75291.1060040789</v>
      </c>
      <c r="F42" s="19" t="n">
        <f aca="false">$A42*F$37*semanas_mes*$B$9-$B$10</f>
        <v>112199.327204895</v>
      </c>
      <c r="G42" s="19" t="n">
        <f aca="false">$A42*G$37*semanas_mes*$B$9-$B$10</f>
        <v>167561.659006118</v>
      </c>
    </row>
    <row r="43" customFormat="false" ht="15" hidden="false" customHeight="true" outlineLevel="0" collapsed="false">
      <c r="A43" s="86" t="n">
        <v>1000</v>
      </c>
      <c r="B43" s="19" t="n">
        <f aca="false">$A43*B$37*semanas_mes*$B$9-$B$10</f>
        <v>-30160.9545696805</v>
      </c>
      <c r="C43" s="19" t="n">
        <f aca="false">$A43*C$37*semanas_mes*$B$9-$B$10</f>
        <v>22565.0757171992</v>
      </c>
      <c r="D43" s="19" t="n">
        <f aca="false">$A43*D$37*semanas_mes*$B$9-$B$10</f>
        <v>101654.121147519</v>
      </c>
      <c r="E43" s="19" t="n">
        <f aca="false">$A43*E$37*semanas_mes*$B$9-$B$10</f>
        <v>154380.151434398</v>
      </c>
      <c r="F43" s="19" t="n">
        <f aca="false">$A43*F$37*semanas_mes*$B$9-$B$10</f>
        <v>207106.181721278</v>
      </c>
      <c r="G43" s="19" t="n">
        <f aca="false">$A43*G$37*semanas_mes*$B$9-$B$10</f>
        <v>286195.227151598</v>
      </c>
    </row>
    <row r="45" customFormat="false" ht="15" hidden="false" customHeight="true" outlineLevel="0" collapsed="false">
      <c r="A45" s="4" t="s">
        <v>1018</v>
      </c>
    </row>
    <row r="46" customFormat="false" ht="15" hidden="false" customHeight="true" outlineLevel="0" collapsed="false">
      <c r="A46" s="3" t="s">
        <v>1019</v>
      </c>
    </row>
    <row r="47" customFormat="false" ht="15" hidden="false" customHeight="true" outlineLevel="0" collapsed="false">
      <c r="B47" s="87" t="n">
        <v>3.5</v>
      </c>
      <c r="C47" s="87" t="n">
        <v>4.2</v>
      </c>
      <c r="D47" s="87" t="n">
        <v>5</v>
      </c>
      <c r="E47" s="87" t="n">
        <v>5.5</v>
      </c>
      <c r="F47" s="87" t="n">
        <v>6.5</v>
      </c>
      <c r="G47" s="87" t="n">
        <v>7.5</v>
      </c>
    </row>
    <row r="48" customFormat="false" ht="15" hidden="false" customHeight="true" outlineLevel="0" collapsed="false">
      <c r="A48" s="88" t="n">
        <v>2</v>
      </c>
      <c r="B48" s="26" t="n">
        <f aca="false">p_sem*$B$8-((($A48*horas_gar*(1+residual))/1000*Costeo!$C$9+$B$6-vaso+B$47)*(1+merma)+$B$7)</f>
        <v>7.69492336493553</v>
      </c>
      <c r="C48" s="26" t="n">
        <f aca="false">p_sem*$B$8-((($A48*horas_gar*(1+residual))/1000*Costeo!$C$9+$B$6-vaso+C$47)*(1+merma)+$B$7)</f>
        <v>6.98442336493553</v>
      </c>
      <c r="D48" s="26" t="n">
        <f aca="false">p_sem*$B$8-((($A48*horas_gar*(1+residual))/1000*Costeo!$C$9+$B$6-vaso+D$47)*(1+merma)+$B$7)</f>
        <v>6.17242336493553</v>
      </c>
      <c r="E48" s="26" t="n">
        <f aca="false">p_sem*$B$8-((($A48*horas_gar*(1+residual))/1000*Costeo!$C$9+$B$6-vaso+E$47)*(1+merma)+$B$7)</f>
        <v>5.66492336493553</v>
      </c>
      <c r="F48" s="26" t="n">
        <f aca="false">p_sem*$B$8-((($A48*horas_gar*(1+residual))/1000*Costeo!$C$9+$B$6-vaso+F$47)*(1+merma)+$B$7)</f>
        <v>4.64992336493553</v>
      </c>
      <c r="G48" s="26" t="n">
        <f aca="false">p_sem*$B$8-((($A48*horas_gar*(1+residual))/1000*Costeo!$C$9+$B$6-vaso+G$47)*(1+merma)+$B$7)</f>
        <v>3.63492336493553</v>
      </c>
    </row>
    <row r="49" customFormat="false" ht="15" hidden="false" customHeight="true" outlineLevel="0" collapsed="false">
      <c r="A49" s="88" t="n">
        <v>2.2</v>
      </c>
      <c r="B49" s="26" t="n">
        <f aca="false">p_sem*$B$8-((($A49*horas_gar*(1+residual))/1000*Costeo!$C$9+$B$6-vaso+B$47)*(1+merma)+$B$7)</f>
        <v>6.65788552901529</v>
      </c>
      <c r="C49" s="26" t="n">
        <f aca="false">p_sem*$B$8-((($A49*horas_gar*(1+residual))/1000*Costeo!$C$9+$B$6-vaso+C$47)*(1+merma)+$B$7)</f>
        <v>5.94738552901529</v>
      </c>
      <c r="D49" s="26" t="n">
        <f aca="false">p_sem*$B$8-((($A49*horas_gar*(1+residual))/1000*Costeo!$C$9+$B$6-vaso+D$47)*(1+merma)+$B$7)</f>
        <v>5.13538552901529</v>
      </c>
      <c r="E49" s="26" t="n">
        <f aca="false">p_sem*$B$8-((($A49*horas_gar*(1+residual))/1000*Costeo!$C$9+$B$6-vaso+E$47)*(1+merma)+$B$7)</f>
        <v>4.62788552901529</v>
      </c>
      <c r="F49" s="26" t="n">
        <f aca="false">p_sem*$B$8-((($A49*horas_gar*(1+residual))/1000*Costeo!$C$9+$B$6-vaso+F$47)*(1+merma)+$B$7)</f>
        <v>3.61288552901529</v>
      </c>
      <c r="G49" s="26" t="n">
        <f aca="false">p_sem*$B$8-((($A49*horas_gar*(1+residual))/1000*Costeo!$C$9+$B$6-vaso+G$47)*(1+merma)+$B$7)</f>
        <v>2.59788552901529</v>
      </c>
    </row>
    <row r="50" customFormat="false" ht="15" hidden="false" customHeight="true" outlineLevel="0" collapsed="false">
      <c r="A50" s="88" t="n">
        <v>2.4</v>
      </c>
      <c r="B50" s="26" t="n">
        <f aca="false">p_sem*$B$8-((($A50*horas_gar*(1+residual))/1000*Costeo!$C$9+$B$6-vaso+B$47)*(1+merma)+$B$7)</f>
        <v>5.62084769309505</v>
      </c>
      <c r="C50" s="26" t="n">
        <f aca="false">p_sem*$B$8-((($A50*horas_gar*(1+residual))/1000*Costeo!$C$9+$B$6-vaso+C$47)*(1+merma)+$B$7)</f>
        <v>4.91034769309505</v>
      </c>
      <c r="D50" s="26" t="n">
        <f aca="false">p_sem*$B$8-((($A50*horas_gar*(1+residual))/1000*Costeo!$C$9+$B$6-vaso+D$47)*(1+merma)+$B$7)</f>
        <v>4.09834769309505</v>
      </c>
      <c r="E50" s="26" t="n">
        <f aca="false">p_sem*$B$8-((($A50*horas_gar*(1+residual))/1000*Costeo!$C$9+$B$6-vaso+E$47)*(1+merma)+$B$7)</f>
        <v>3.59084769309505</v>
      </c>
      <c r="F50" s="26" t="n">
        <f aca="false">p_sem*$B$8-((($A50*horas_gar*(1+residual))/1000*Costeo!$C$9+$B$6-vaso+F$47)*(1+merma)+$B$7)</f>
        <v>2.57584769309505</v>
      </c>
      <c r="G50" s="26" t="n">
        <f aca="false">p_sem*$B$8-((($A50*horas_gar*(1+residual))/1000*Costeo!$C$9+$B$6-vaso+G$47)*(1+merma)+$B$7)</f>
        <v>1.56084769309505</v>
      </c>
    </row>
    <row r="51" customFormat="false" ht="15" hidden="false" customHeight="true" outlineLevel="0" collapsed="false">
      <c r="A51" s="88" t="n">
        <v>2.6</v>
      </c>
      <c r="B51" s="26" t="n">
        <f aca="false">p_sem*$B$8-((($A51*horas_gar*(1+residual))/1000*Costeo!$C$9+$B$6-vaso+B$47)*(1+merma)+$B$7)</f>
        <v>4.58380985717481</v>
      </c>
      <c r="C51" s="26" t="n">
        <f aca="false">p_sem*$B$8-((($A51*horas_gar*(1+residual))/1000*Costeo!$C$9+$B$6-vaso+C$47)*(1+merma)+$B$7)</f>
        <v>3.87330985717481</v>
      </c>
      <c r="D51" s="26" t="n">
        <f aca="false">p_sem*$B$8-((($A51*horas_gar*(1+residual))/1000*Costeo!$C$9+$B$6-vaso+D$47)*(1+merma)+$B$7)</f>
        <v>3.06130985717481</v>
      </c>
      <c r="E51" s="26" t="n">
        <f aca="false">p_sem*$B$8-((($A51*horas_gar*(1+residual))/1000*Costeo!$C$9+$B$6-vaso+E$47)*(1+merma)+$B$7)</f>
        <v>2.55380985717481</v>
      </c>
      <c r="F51" s="26" t="n">
        <f aca="false">p_sem*$B$8-((($A51*horas_gar*(1+residual))/1000*Costeo!$C$9+$B$6-vaso+F$47)*(1+merma)+$B$7)</f>
        <v>1.53880985717481</v>
      </c>
      <c r="G51" s="26" t="n">
        <f aca="false">p_sem*$B$8-((($A51*horas_gar*(1+residual))/1000*Costeo!$C$9+$B$6-vaso+G$47)*(1+merma)+$B$7)</f>
        <v>0.523809857174811</v>
      </c>
    </row>
    <row r="52" customFormat="false" ht="15" hidden="false" customHeight="true" outlineLevel="0" collapsed="false">
      <c r="A52" s="88" t="n">
        <v>2.8</v>
      </c>
      <c r="B52" s="26" t="n">
        <f aca="false">p_sem*$B$8-((($A52*horas_gar*(1+residual))/1000*Costeo!$C$9+$B$6-vaso+B$47)*(1+merma)+$B$7)</f>
        <v>3.54677202125457</v>
      </c>
      <c r="C52" s="26" t="n">
        <f aca="false">p_sem*$B$8-((($A52*horas_gar*(1+residual))/1000*Costeo!$C$9+$B$6-vaso+C$47)*(1+merma)+$B$7)</f>
        <v>2.83627202125457</v>
      </c>
      <c r="D52" s="26" t="n">
        <f aca="false">p_sem*$B$8-((($A52*horas_gar*(1+residual))/1000*Costeo!$C$9+$B$6-vaso+D$47)*(1+merma)+$B$7)</f>
        <v>2.02427202125457</v>
      </c>
      <c r="E52" s="26" t="n">
        <f aca="false">p_sem*$B$8-((($A52*horas_gar*(1+residual))/1000*Costeo!$C$9+$B$6-vaso+E$47)*(1+merma)+$B$7)</f>
        <v>1.51677202125457</v>
      </c>
      <c r="F52" s="26" t="n">
        <f aca="false">p_sem*$B$8-((($A52*horas_gar*(1+residual))/1000*Costeo!$C$9+$B$6-vaso+F$47)*(1+merma)+$B$7)</f>
        <v>0.50177202125457</v>
      </c>
      <c r="G52" s="26" t="n">
        <f aca="false">p_sem*$B$8-((($A52*horas_gar*(1+residual))/1000*Costeo!$C$9+$B$6-vaso+G$47)*(1+merma)+$B$7)</f>
        <v>-0.51322797874543</v>
      </c>
    </row>
    <row r="53" customFormat="false" ht="15" hidden="false" customHeight="true" outlineLevel="0" collapsed="false">
      <c r="A53" s="88" t="n">
        <v>3</v>
      </c>
      <c r="B53" s="26" t="n">
        <f aca="false">p_sem*$B$8-((($A53*horas_gar*(1+residual))/1000*Costeo!$C$9+$B$6-vaso+B$47)*(1+merma)+$B$7)</f>
        <v>2.50973418533433</v>
      </c>
      <c r="C53" s="26" t="n">
        <f aca="false">p_sem*$B$8-((($A53*horas_gar*(1+residual))/1000*Costeo!$C$9+$B$6-vaso+C$47)*(1+merma)+$B$7)</f>
        <v>1.79923418533433</v>
      </c>
      <c r="D53" s="26" t="n">
        <f aca="false">p_sem*$B$8-((($A53*horas_gar*(1+residual))/1000*Costeo!$C$9+$B$6-vaso+D$47)*(1+merma)+$B$7)</f>
        <v>0.98723418533433</v>
      </c>
      <c r="E53" s="26" t="n">
        <f aca="false">p_sem*$B$8-((($A53*horas_gar*(1+residual))/1000*Costeo!$C$9+$B$6-vaso+E$47)*(1+merma)+$B$7)</f>
        <v>0.47973418533433</v>
      </c>
      <c r="F53" s="26" t="n">
        <f aca="false">p_sem*$B$8-((($A53*horas_gar*(1+residual))/1000*Costeo!$C$9+$B$6-vaso+F$47)*(1+merma)+$B$7)</f>
        <v>-0.535265814665671</v>
      </c>
      <c r="G53" s="26" t="n">
        <f aca="false">p_sem*$B$8-((($A53*horas_gar*(1+residual))/1000*Costeo!$C$9+$B$6-vaso+G$47)*(1+merma)+$B$7)</f>
        <v>-1.55026581466567</v>
      </c>
    </row>
    <row r="54" customFormat="false" ht="15" hidden="false" customHeight="true" outlineLevel="0" collapsed="false">
      <c r="A54" s="88" t="n">
        <v>3.5</v>
      </c>
      <c r="B54" s="26" t="n">
        <f aca="false">p_sem*$B$8-((($A54*horas_gar*(1+residual))/1000*Costeo!$C$9+$B$6-vaso+B$47)*(1+merma)+$B$7)</f>
        <v>-0.082860404466274</v>
      </c>
      <c r="C54" s="26" t="n">
        <f aca="false">p_sem*$B$8-((($A54*horas_gar*(1+residual))/1000*Costeo!$C$9+$B$6-vaso+C$47)*(1+merma)+$B$7)</f>
        <v>-0.793360404466274</v>
      </c>
      <c r="D54" s="26" t="n">
        <f aca="false">p_sem*$B$8-((($A54*horas_gar*(1+residual))/1000*Costeo!$C$9+$B$6-vaso+D$47)*(1+merma)+$B$7)</f>
        <v>-1.60536040446627</v>
      </c>
      <c r="E54" s="26" t="n">
        <f aca="false">p_sem*$B$8-((($A54*horas_gar*(1+residual))/1000*Costeo!$C$9+$B$6-vaso+E$47)*(1+merma)+$B$7)</f>
        <v>-2.11286040446627</v>
      </c>
      <c r="F54" s="26" t="n">
        <f aca="false">p_sem*$B$8-((($A54*horas_gar*(1+residual))/1000*Costeo!$C$9+$B$6-vaso+F$47)*(1+merma)+$B$7)</f>
        <v>-3.12786040446627</v>
      </c>
      <c r="G54" s="26" t="n">
        <f aca="false">p_sem*$B$8-((($A54*horas_gar*(1+residual))/1000*Costeo!$C$9+$B$6-vaso+G$47)*(1+merma)+$B$7)</f>
        <v>-4.14286040446627</v>
      </c>
    </row>
  </sheetData>
  <conditionalFormatting sqref="B15:H22">
    <cfRule type="cellIs" priority="2" operator="lessThan" aboveAverage="0" equalAverage="0" bottom="0" percent="0" rank="0" text="" dxfId="0">
      <formula>0</formula>
    </cfRule>
  </conditionalFormatting>
  <conditionalFormatting sqref="B27:H33">
    <cfRule type="cellIs" priority="3" operator="lessThan" aboveAverage="0" equalAverage="0" bottom="0" percent="0" rank="0" text="" dxfId="0">
      <formula>0</formula>
    </cfRule>
  </conditionalFormatting>
  <conditionalFormatting sqref="B38:G43">
    <cfRule type="cellIs" priority="4" operator="lessThan" aboveAverage="0" equalAverage="0" bottom="0" percent="0" rank="0" text="" dxfId="0">
      <formula>0</formula>
    </cfRule>
  </conditionalFormatting>
  <conditionalFormatting sqref="B48:G5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6"/>
  </cols>
  <sheetData>
    <row r="1" customFormat="false" ht="18" hidden="false" customHeight="true" outlineLevel="0" collapsed="false">
      <c r="A1" s="2" t="s">
        <v>1020</v>
      </c>
    </row>
    <row r="2" customFormat="false" ht="15" hidden="false" customHeight="true" outlineLevel="0" collapsed="false">
      <c r="A2" s="3" t="s">
        <v>1021</v>
      </c>
    </row>
    <row r="4" customFormat="false" ht="15" hidden="false" customHeight="true" outlineLevel="0" collapsed="false">
      <c r="A4" s="28" t="s">
        <v>1022</v>
      </c>
      <c r="B4" s="29"/>
      <c r="C4" s="29"/>
      <c r="D4" s="29"/>
      <c r="E4" s="29"/>
      <c r="F4" s="29"/>
    </row>
    <row r="5" customFormat="false" ht="15" hidden="false" customHeight="true" outlineLevel="0" collapsed="false">
      <c r="A5" s="17" t="s">
        <v>108</v>
      </c>
      <c r="B5" s="18" t="s">
        <v>80</v>
      </c>
      <c r="C5" s="18" t="s">
        <v>81</v>
      </c>
      <c r="D5" s="18" t="s">
        <v>82</v>
      </c>
      <c r="E5" s="18" t="s">
        <v>83</v>
      </c>
      <c r="F5" s="18" t="s">
        <v>1023</v>
      </c>
    </row>
    <row r="6" customFormat="false" ht="15" hidden="false" customHeight="true" outlineLevel="0" collapsed="false">
      <c r="A6" s="21" t="s">
        <v>1024</v>
      </c>
      <c r="B6" s="26" t="n">
        <f aca="false">Cascada!B5</f>
        <v>49</v>
      </c>
      <c r="C6" s="26" t="n">
        <f aca="false">Cascada!C5</f>
        <v>34</v>
      </c>
      <c r="D6" s="26" t="n">
        <f aca="false">Cascada!D5</f>
        <v>65</v>
      </c>
      <c r="E6" s="26" t="n">
        <f aca="false">Cascada!E5</f>
        <v>99</v>
      </c>
      <c r="F6" s="37" t="n">
        <f aca="false">p_pond</f>
        <v>49.38</v>
      </c>
    </row>
    <row r="7" customFormat="false" ht="15" hidden="false" customHeight="true" outlineLevel="0" collapsed="false">
      <c r="A7" s="21" t="s">
        <v>85</v>
      </c>
      <c r="B7" s="26" t="n">
        <f aca="false">Cascada!B9</f>
        <v>13.23</v>
      </c>
      <c r="C7" s="26" t="n">
        <f aca="false">Cascada!C9</f>
        <v>9.18</v>
      </c>
      <c r="D7" s="26" t="n">
        <f aca="false">Cascada!D9</f>
        <v>17.55</v>
      </c>
      <c r="E7" s="26" t="n">
        <f aca="false">Cascada!E9</f>
        <v>26.73</v>
      </c>
      <c r="F7" s="37" t="n">
        <f aca="false">tg_pond</f>
        <v>13.3326</v>
      </c>
    </row>
    <row r="8" customFormat="false" ht="15" hidden="false" customHeight="true" outlineLevel="0" collapsed="false">
      <c r="A8" s="21" t="s">
        <v>86</v>
      </c>
      <c r="B8" s="26" t="n">
        <f aca="false">Cascada!B11</f>
        <v>6.0809</v>
      </c>
      <c r="C8" s="26" t="n">
        <f aca="false">Cascada!C11</f>
        <v>4.2194</v>
      </c>
      <c r="D8" s="26" t="n">
        <f aca="false">Cascada!D11</f>
        <v>8.0665</v>
      </c>
      <c r="E8" s="26" t="n">
        <f aca="false">Cascada!E11</f>
        <v>12.2859</v>
      </c>
      <c r="F8" s="37" t="n">
        <f aca="false">dg_pond</f>
        <v>6.128058</v>
      </c>
    </row>
    <row r="9" customFormat="false" ht="15" hidden="false" customHeight="true" outlineLevel="0" collapsed="false">
      <c r="A9" s="21" t="s">
        <v>87</v>
      </c>
      <c r="B9" s="26" t="n">
        <f aca="false">Cascada!B14</f>
        <v>5.42886661105517</v>
      </c>
      <c r="C9" s="26" t="n">
        <f aca="false">Cascada!C14</f>
        <v>2.98437504017395</v>
      </c>
      <c r="D9" s="26" t="n">
        <f aca="false">Cascada!D14</f>
        <v>12.5681079903655</v>
      </c>
      <c r="E9" s="26" t="n">
        <f aca="false">Cascada!E14</f>
        <v>26.4702459214</v>
      </c>
      <c r="F9" s="37" t="n">
        <f aca="false">u_pond</f>
        <v>7.20902998270268</v>
      </c>
    </row>
    <row r="11" customFormat="false" ht="15" hidden="false" customHeight="true" outlineLevel="0" collapsed="false">
      <c r="A11" s="28" t="s">
        <v>1025</v>
      </c>
      <c r="B11" s="29"/>
      <c r="C11" s="29"/>
      <c r="D11" s="29"/>
      <c r="E11" s="29"/>
      <c r="F11" s="29"/>
    </row>
    <row r="12" customFormat="false" ht="15" hidden="false" customHeight="true" outlineLevel="0" collapsed="false">
      <c r="A12" s="5" t="s">
        <v>1026</v>
      </c>
      <c r="B12" s="22" t="n">
        <f aca="false">SUMIF(Volumen!$C$6:$AL$6,2,Volumen!$C$11:$AL$11)/12</f>
        <v>500</v>
      </c>
    </row>
    <row r="13" customFormat="false" ht="15" hidden="false" customHeight="true" outlineLevel="0" collapsed="false">
      <c r="A13" s="5" t="s">
        <v>1027</v>
      </c>
      <c r="B13" s="74" t="n">
        <f aca="false">SUMIF(Volumen!$C$6:$AL$6,2,Volumen!$C$14:$AL$14)/12/MAX(1,B12)</f>
        <v>38.104</v>
      </c>
    </row>
    <row r="14" customFormat="false" ht="15" hidden="false" customHeight="true" outlineLevel="0" collapsed="false">
      <c r="A14" s="21" t="s">
        <v>1028</v>
      </c>
      <c r="B14" s="82" t="n">
        <f aca="false">B13*tg_pond</f>
        <v>508.0253904</v>
      </c>
    </row>
    <row r="15" customFormat="false" ht="15" hidden="false" customHeight="true" outlineLevel="0" collapsed="false">
      <c r="A15" s="5" t="s">
        <v>1029</v>
      </c>
      <c r="B15" s="20" t="n">
        <f aca="false">m_tienda</f>
        <v>0.27</v>
      </c>
    </row>
    <row r="16" customFormat="false" ht="15" hidden="false" customHeight="true" outlineLevel="0" collapsed="false">
      <c r="A16" s="5" t="s">
        <v>1030</v>
      </c>
      <c r="B16" s="20" t="n">
        <f aca="false">ref_refrescos</f>
        <v>0.225</v>
      </c>
    </row>
    <row r="17" customFormat="false" ht="15" hidden="false" customHeight="true" outlineLevel="0" collapsed="false">
      <c r="A17" s="5" t="s">
        <v>1031</v>
      </c>
      <c r="B17" s="22" t="n">
        <f aca="false">SUMIF(Volumen!$C$6:$AL$6,2,Volumen!$C$16:$AL$16)/12</f>
        <v>19052</v>
      </c>
    </row>
    <row r="18" customFormat="false" ht="15" hidden="false" customHeight="true" outlineLevel="0" collapsed="false">
      <c r="A18" s="21" t="s">
        <v>1032</v>
      </c>
      <c r="B18" s="82" t="n">
        <f aca="false">B17*dg_pond</f>
        <v>116751.761016</v>
      </c>
    </row>
    <row r="19" customFormat="false" ht="15" hidden="false" customHeight="true" outlineLevel="0" collapsed="false">
      <c r="A19" s="21" t="s">
        <v>1033</v>
      </c>
      <c r="B19" s="82" t="n">
        <f aca="false">Resultados!AN63/12</f>
        <v>82262.662514497</v>
      </c>
    </row>
    <row r="20" customFormat="false" ht="15" hidden="false" customHeight="true" outlineLevel="0" collapsed="false">
      <c r="A20" s="5" t="s">
        <v>1034</v>
      </c>
      <c r="B20" s="19" t="n">
        <f aca="false">Resultados!AN70/12</f>
        <v>50760.420858575</v>
      </c>
    </row>
    <row r="22" customFormat="false" ht="15" hidden="false" customHeight="true" outlineLevel="0" collapsed="false">
      <c r="A22" s="28" t="s">
        <v>1035</v>
      </c>
      <c r="B22" s="29"/>
      <c r="C22" s="29"/>
      <c r="D22" s="29"/>
      <c r="E22" s="29"/>
      <c r="F22" s="29"/>
    </row>
    <row r="23" customFormat="false" ht="15" hidden="false" customHeight="true" outlineLevel="0" collapsed="false">
      <c r="A23" s="5" t="s">
        <v>1036</v>
      </c>
      <c r="B23" s="26" t="n">
        <f aca="false">Costeo!C32</f>
        <v>0.291666666666667</v>
      </c>
    </row>
    <row r="24" customFormat="false" ht="15" hidden="false" customHeight="true" outlineLevel="0" collapsed="false">
      <c r="A24" s="5" t="s">
        <v>1037</v>
      </c>
      <c r="B24" s="26" t="n">
        <f aca="false">Costeo!D32</f>
        <v>0.202380952380952</v>
      </c>
    </row>
    <row r="25" customFormat="false" ht="15" hidden="false" customHeight="true" outlineLevel="0" collapsed="false">
      <c r="A25" s="5" t="s">
        <v>1038</v>
      </c>
      <c r="B25" s="26" t="n">
        <f aca="false">comp_sem_hora</f>
        <v>0.207738095238095</v>
      </c>
    </row>
    <row r="26" customFormat="false" ht="15" hidden="false" customHeight="true" outlineLevel="0" collapsed="false">
      <c r="A26" s="5" t="s">
        <v>1039</v>
      </c>
      <c r="B26" s="19" t="n">
        <f aca="false">52*veladoras_sem_cliente*comp_semanal</f>
        <v>1814.8</v>
      </c>
    </row>
    <row r="27" customFormat="false" ht="15" hidden="false" customHeight="true" outlineLevel="0" collapsed="false">
      <c r="A27" s="5" t="s">
        <v>1040</v>
      </c>
      <c r="B27" s="19" t="n">
        <f aca="false">veladoras_sem_cliente*(p_sem+51*p_rep)</f>
        <v>1783</v>
      </c>
    </row>
    <row r="28" customFormat="false" ht="15" hidden="false" customHeight="true" outlineLevel="0" collapsed="false">
      <c r="A28" s="21" t="s">
        <v>1041</v>
      </c>
      <c r="B28" s="82" t="n">
        <f aca="false">B26-B27</f>
        <v>31.8</v>
      </c>
    </row>
    <row r="29" customFormat="false" ht="15" hidden="false" customHeight="true" outlineLevel="0" collapsed="false">
      <c r="A29" s="5" t="s">
        <v>1042</v>
      </c>
      <c r="B29" s="19" t="n">
        <f aca="false">veladoras_sem_cliente*(u_sem+51*u_rep)</f>
        <v>157.631993659926</v>
      </c>
    </row>
    <row r="30" customFormat="false" ht="15" hidden="false" customHeight="true" outlineLevel="0" collapsed="false">
      <c r="A30" s="5" t="s">
        <v>1043</v>
      </c>
      <c r="B30" s="19" t="n">
        <f aca="false">exhibidor+pop</f>
        <v>370</v>
      </c>
    </row>
    <row r="31" customFormat="false" ht="15" hidden="false" customHeight="true" outlineLevel="0" collapsed="false">
      <c r="A31" s="5" t="s">
        <v>1044</v>
      </c>
      <c r="B31" s="19" t="n">
        <f aca="false">B13*u_pond</f>
        <v>274.692878460903</v>
      </c>
    </row>
    <row r="32" customFormat="false" ht="15" hidden="false" customHeight="true" outlineLevel="0" collapsed="false">
      <c r="A32" s="5" t="s">
        <v>1045</v>
      </c>
      <c r="B32" s="45" t="n">
        <f aca="false">IFERROR(B30/B31,0)</f>
        <v>1.34695883662183</v>
      </c>
    </row>
    <row r="34" customFormat="false" ht="15" hidden="false" customHeight="true" outlineLevel="0" collapsed="false">
      <c r="A34" s="3" t="s">
        <v>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60" t="s">
        <v>1047</v>
      </c>
    </row>
    <row r="2" customFormat="false" ht="15" hidden="false" customHeight="false" outlineLevel="0" collapsed="false">
      <c r="A2" s="61" t="s">
        <v>1048</v>
      </c>
    </row>
    <row r="4" customFormat="false" ht="15" hidden="false" customHeight="false" outlineLevel="0" collapsed="false">
      <c r="A4" s="48" t="s">
        <v>1049</v>
      </c>
      <c r="B4" s="48"/>
      <c r="C4" s="48"/>
      <c r="D4" s="48"/>
      <c r="E4" s="48"/>
      <c r="F4" s="48"/>
    </row>
    <row r="5" customFormat="false" ht="15" hidden="false" customHeight="false" outlineLevel="0" collapsed="false">
      <c r="A5" s="62" t="s">
        <v>108</v>
      </c>
      <c r="B5" s="63" t="s">
        <v>1050</v>
      </c>
      <c r="C5" s="63" t="s">
        <v>1051</v>
      </c>
      <c r="D5" s="63" t="s">
        <v>1052</v>
      </c>
      <c r="E5" s="63" t="s">
        <v>1053</v>
      </c>
      <c r="F5" s="63" t="s">
        <v>625</v>
      </c>
    </row>
    <row r="6" customFormat="false" ht="15" hidden="false" customHeight="false" outlineLevel="0" collapsed="false">
      <c r="A6" s="51" t="s">
        <v>1054</v>
      </c>
      <c r="B6" s="56" t="n">
        <v>100</v>
      </c>
      <c r="C6" s="56" t="n">
        <v>300</v>
      </c>
      <c r="D6" s="56" t="n">
        <v>1000</v>
      </c>
      <c r="E6" s="56" t="n">
        <v>500</v>
      </c>
      <c r="F6" s="64" t="s">
        <v>307</v>
      </c>
    </row>
    <row r="7" customFormat="false" ht="15" hidden="false" customHeight="false" outlineLevel="0" collapsed="false">
      <c r="A7" s="51" t="s">
        <v>1055</v>
      </c>
      <c r="B7" s="56" t="n">
        <v>5</v>
      </c>
      <c r="C7" s="56" t="n">
        <v>8</v>
      </c>
      <c r="D7" s="56" t="n">
        <v>8</v>
      </c>
      <c r="E7" s="56" t="n">
        <v>8</v>
      </c>
      <c r="F7" s="64" t="s">
        <v>1056</v>
      </c>
    </row>
    <row r="8" customFormat="false" ht="15" hidden="false" customHeight="false" outlineLevel="0" collapsed="false">
      <c r="A8" s="51" t="s">
        <v>1057</v>
      </c>
      <c r="B8" s="57" t="n">
        <f aca="false">B6*B7*semanas_mes</f>
        <v>2165</v>
      </c>
      <c r="C8" s="57" t="n">
        <f aca="false">C6*C7*semanas_mes</f>
        <v>10392</v>
      </c>
      <c r="D8" s="57" t="n">
        <f aca="false">D6*D7*semanas_mes</f>
        <v>34640</v>
      </c>
      <c r="E8" s="57" t="n">
        <f aca="false">E6*E7*semanas_mes</f>
        <v>17320</v>
      </c>
      <c r="F8" s="64" t="s">
        <v>1058</v>
      </c>
    </row>
    <row r="9" customFormat="false" ht="15" hidden="false" customHeight="false" outlineLevel="0" collapsed="false">
      <c r="A9" s="51" t="s">
        <v>1059</v>
      </c>
      <c r="B9" s="55" t="n">
        <f aca="false">Cascada!$B$32</f>
        <v>6.128058</v>
      </c>
      <c r="C9" s="55" t="n">
        <f aca="false">Cascada!$B$32</f>
        <v>6.128058</v>
      </c>
      <c r="D9" s="55" t="n">
        <f aca="false">Cascada!$B$32</f>
        <v>6.128058</v>
      </c>
      <c r="E9" s="55" t="n">
        <f aca="false">Cascada!$B$32</f>
        <v>6.128058</v>
      </c>
      <c r="F9" s="64" t="s">
        <v>1060</v>
      </c>
    </row>
    <row r="10" customFormat="false" ht="15" hidden="false" customHeight="false" outlineLevel="0" collapsed="false">
      <c r="A10" s="66" t="s">
        <v>1032</v>
      </c>
      <c r="B10" s="70" t="n">
        <f aca="false">B8*B9</f>
        <v>13267.24557</v>
      </c>
      <c r="C10" s="70" t="n">
        <f aca="false">C8*C9</f>
        <v>63682.778736</v>
      </c>
      <c r="D10" s="70" t="n">
        <f aca="false">D8*D9</f>
        <v>212275.92912</v>
      </c>
      <c r="E10" s="70" t="n">
        <f aca="false">E8*E9</f>
        <v>106137.96456</v>
      </c>
      <c r="F10" s="64"/>
    </row>
    <row r="11" customFormat="false" ht="15" hidden="false" customHeight="false" outlineLevel="0" collapsed="false">
      <c r="A11" s="51" t="s">
        <v>1061</v>
      </c>
      <c r="B11" s="69" t="n">
        <f aca="false">B10*12</f>
        <v>159206.94684</v>
      </c>
      <c r="C11" s="69" t="n">
        <f aca="false">C10*12</f>
        <v>764193.344832</v>
      </c>
      <c r="D11" s="69" t="n">
        <f aca="false">D10*12</f>
        <v>2547311.14944</v>
      </c>
      <c r="E11" s="69" t="n">
        <f aca="false">E10*12</f>
        <v>1273655.57472</v>
      </c>
      <c r="F11" s="64" t="s">
        <v>1062</v>
      </c>
    </row>
    <row r="12" customFormat="false" ht="15" hidden="false" customHeight="false" outlineLevel="0" collapsed="false">
      <c r="A12" s="51" t="s">
        <v>101</v>
      </c>
      <c r="B12" s="69" t="n">
        <f aca="false">B7*semanas_mes*Cascada!$B$31</f>
        <v>288.65079</v>
      </c>
      <c r="C12" s="69" t="n">
        <f aca="false">C7*semanas_mes*Cascada!$B$31</f>
        <v>461.841264</v>
      </c>
      <c r="D12" s="69" t="n">
        <f aca="false">D7*semanas_mes*Cascada!$B$31</f>
        <v>461.841264</v>
      </c>
      <c r="E12" s="69" t="n">
        <f aca="false">E7*semanas_mes*Cascada!$B$31</f>
        <v>461.841264</v>
      </c>
      <c r="F12" s="64" t="s">
        <v>1063</v>
      </c>
    </row>
    <row r="13" customFormat="false" ht="15" hidden="false" customHeight="false" outlineLevel="0" collapsed="false">
      <c r="A13" s="51" t="s">
        <v>1064</v>
      </c>
      <c r="B13" s="69" t="n">
        <f aca="false">B8*Cascada!$B$30*(1-m_tienda)*(1-m_dist)</f>
        <v>64775.37543</v>
      </c>
      <c r="C13" s="69" t="n">
        <f aca="false">C8*Cascada!$B$30*(1-m_tienda)*(1-m_dist)</f>
        <v>310921.802064</v>
      </c>
      <c r="D13" s="69" t="n">
        <f aca="false">D8*Cascada!$B$30*(1-m_tienda)*(1-m_dist)</f>
        <v>1036406.00688</v>
      </c>
      <c r="E13" s="69" t="n">
        <f aca="false">E8*Cascada!$B$30*(1-m_tienda)*(1-m_dist)</f>
        <v>518203.00344</v>
      </c>
      <c r="F13" s="64" t="s">
        <v>1065</v>
      </c>
    </row>
    <row r="14" customFormat="false" ht="15" hidden="false" customHeight="false" outlineLevel="0" collapsed="false">
      <c r="A14" s="51" t="s">
        <v>1066</v>
      </c>
      <c r="B14" s="57" t="n">
        <f aca="false">B8*mix_rep</f>
        <v>866</v>
      </c>
      <c r="C14" s="57" t="n">
        <f aca="false">C8*mix_rep</f>
        <v>4156.8</v>
      </c>
      <c r="D14" s="57" t="n">
        <f aca="false">D8*mix_rep</f>
        <v>13856</v>
      </c>
      <c r="E14" s="57" t="n">
        <f aca="false">E8*mix_rep</f>
        <v>6928</v>
      </c>
      <c r="F14" s="64" t="s">
        <v>1067</v>
      </c>
    </row>
    <row r="15" customFormat="false" ht="15" hidden="false" customHeight="false" outlineLevel="0" collapsed="false">
      <c r="A15" s="51" t="s">
        <v>1068</v>
      </c>
      <c r="B15" s="69" t="n">
        <f aca="false">B8*Cascada!$B$28</f>
        <v>15607.5499125513</v>
      </c>
      <c r="C15" s="69" t="n">
        <f aca="false">C8*Cascada!$B$28</f>
        <v>74916.2395802463</v>
      </c>
      <c r="D15" s="69" t="n">
        <f aca="false">D8*Cascada!$B$28</f>
        <v>249720.798600821</v>
      </c>
      <c r="E15" s="69" t="n">
        <f aca="false">E8*Cascada!$B$28</f>
        <v>124860.39930041</v>
      </c>
      <c r="F15" s="64" t="s">
        <v>1069</v>
      </c>
    </row>
    <row r="17" customFormat="false" ht="15" hidden="false" customHeight="false" outlineLevel="0" collapsed="false">
      <c r="A17" s="48" t="s">
        <v>1070</v>
      </c>
      <c r="B17" s="48"/>
      <c r="C17" s="48"/>
      <c r="D17" s="48"/>
      <c r="E17" s="48"/>
      <c r="F17" s="48"/>
    </row>
    <row r="18" customFormat="false" ht="15" hidden="false" customHeight="false" outlineLevel="0" collapsed="false">
      <c r="A18" s="62" t="s">
        <v>1071</v>
      </c>
      <c r="B18" s="63" t="s">
        <v>1072</v>
      </c>
      <c r="C18" s="63" t="s">
        <v>1073</v>
      </c>
      <c r="D18" s="63" t="s">
        <v>1074</v>
      </c>
      <c r="E18" s="63"/>
      <c r="F18" s="63"/>
    </row>
    <row r="19" customFormat="false" ht="15" hidden="false" customHeight="false" outlineLevel="0" collapsed="false">
      <c r="A19" s="89" t="s">
        <v>1075</v>
      </c>
      <c r="B19" s="90" t="s">
        <v>1076</v>
      </c>
      <c r="C19" s="90" t="s">
        <v>1077</v>
      </c>
      <c r="D19" s="90" t="s">
        <v>1078</v>
      </c>
    </row>
    <row r="20" customFormat="false" ht="15" hidden="false" customHeight="false" outlineLevel="0" collapsed="false">
      <c r="A20" s="89" t="s">
        <v>1079</v>
      </c>
      <c r="B20" s="90" t="s">
        <v>1080</v>
      </c>
      <c r="C20" s="90" t="s">
        <v>1081</v>
      </c>
      <c r="D20" s="90" t="s">
        <v>1082</v>
      </c>
    </row>
    <row r="21" customFormat="false" ht="23.85" hidden="false" customHeight="false" outlineLevel="0" collapsed="false">
      <c r="A21" s="89" t="s">
        <v>1083</v>
      </c>
      <c r="B21" s="90" t="s">
        <v>1084</v>
      </c>
      <c r="C21" s="90" t="s">
        <v>1085</v>
      </c>
      <c r="D21" s="90" t="s">
        <v>1086</v>
      </c>
    </row>
    <row r="22" customFormat="false" ht="15" hidden="false" customHeight="false" outlineLevel="0" collapsed="false">
      <c r="A22" s="89" t="s">
        <v>1087</v>
      </c>
      <c r="B22" s="90" t="s">
        <v>1088</v>
      </c>
      <c r="C22" s="90" t="s">
        <v>1089</v>
      </c>
      <c r="D22" s="90" t="s">
        <v>1090</v>
      </c>
    </row>
    <row r="23" customFormat="false" ht="15" hidden="false" customHeight="false" outlineLevel="0" collapsed="false">
      <c r="A23" s="89" t="s">
        <v>1091</v>
      </c>
      <c r="B23" s="90" t="s">
        <v>1092</v>
      </c>
      <c r="C23" s="90" t="s">
        <v>1093</v>
      </c>
      <c r="D23" s="90" t="s">
        <v>1094</v>
      </c>
    </row>
    <row r="25" customFormat="false" ht="15" hidden="false" customHeight="false" outlineLevel="0" collapsed="false">
      <c r="A25" s="62" t="s">
        <v>1095</v>
      </c>
      <c r="B25" s="63" t="s">
        <v>1096</v>
      </c>
      <c r="C25" s="91" t="s">
        <v>1097</v>
      </c>
      <c r="D25" s="63"/>
      <c r="E25" s="63"/>
      <c r="F25" s="63"/>
    </row>
    <row r="26" customFormat="false" ht="15" hidden="false" customHeight="false" outlineLevel="0" collapsed="false">
      <c r="A26" s="51" t="s">
        <v>1098</v>
      </c>
      <c r="B26" s="50" t="s">
        <v>1052</v>
      </c>
      <c r="C26" s="51" t="s">
        <v>1099</v>
      </c>
    </row>
    <row r="27" customFormat="false" ht="15" hidden="false" customHeight="false" outlineLevel="0" collapsed="false">
      <c r="A27" s="51" t="s">
        <v>1100</v>
      </c>
      <c r="B27" s="50" t="s">
        <v>1051</v>
      </c>
      <c r="C27" s="51" t="s">
        <v>1101</v>
      </c>
    </row>
    <row r="28" customFormat="false" ht="15" hidden="false" customHeight="false" outlineLevel="0" collapsed="false">
      <c r="A28" s="51" t="s">
        <v>1102</v>
      </c>
      <c r="B28" s="50" t="s">
        <v>1050</v>
      </c>
      <c r="C28" s="51" t="s">
        <v>1103</v>
      </c>
    </row>
    <row r="30" customFormat="false" ht="22.35" hidden="false" customHeight="false" outlineLevel="0" collapsed="false">
      <c r="A30" s="64" t="s">
        <v>1104</v>
      </c>
    </row>
    <row r="31" customFormat="false" ht="22.35" hidden="false" customHeight="false" outlineLevel="0" collapsed="false">
      <c r="A31" s="64" t="s">
        <v>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18" hidden="false" customHeight="true" outlineLevel="0" collapsed="false">
      <c r="A1" s="2" t="s">
        <v>1106</v>
      </c>
    </row>
    <row r="2" customFormat="false" ht="15" hidden="false" customHeight="true" outlineLevel="0" collapsed="false">
      <c r="A2" s="3" t="s">
        <v>1107</v>
      </c>
    </row>
    <row r="4" customFormat="false" ht="15" hidden="false" customHeight="true" outlineLevel="0" collapsed="false">
      <c r="A4" s="17" t="s">
        <v>1108</v>
      </c>
      <c r="B4" s="18" t="s">
        <v>697</v>
      </c>
      <c r="C4" s="18" t="s">
        <v>1096</v>
      </c>
      <c r="D4" s="18" t="s">
        <v>714</v>
      </c>
      <c r="E4" s="18" t="s">
        <v>1109</v>
      </c>
      <c r="F4" s="18" t="s">
        <v>1110</v>
      </c>
      <c r="G4" s="18" t="s">
        <v>1111</v>
      </c>
      <c r="H4" s="18" t="s">
        <v>1112</v>
      </c>
      <c r="I4" s="18" t="s">
        <v>1113</v>
      </c>
      <c r="J4" s="18" t="s">
        <v>1114</v>
      </c>
      <c r="K4" s="18" t="s">
        <v>1115</v>
      </c>
    </row>
    <row r="5" customFormat="false" ht="15" hidden="false" customHeight="true" outlineLevel="0" collapsed="false">
      <c r="A5" s="5" t="s">
        <v>1116</v>
      </c>
      <c r="B5" s="5" t="s">
        <v>1117</v>
      </c>
      <c r="C5" s="5" t="s">
        <v>80</v>
      </c>
      <c r="D5" s="38" t="n">
        <v>34.9</v>
      </c>
      <c r="E5" s="35" t="n">
        <v>168</v>
      </c>
      <c r="F5" s="43"/>
      <c r="G5" s="43"/>
      <c r="H5" s="26" t="n">
        <f aca="false">IF(E5&gt;0,D5/E5,"")</f>
        <v>0.207738095238095</v>
      </c>
      <c r="I5" s="26" t="str">
        <f aca="false">IF(F5&gt;0,D5/F5,"")</f>
        <v/>
      </c>
      <c r="J5" s="47" t="str">
        <f aca="false">IF(AND(F5&gt;0,G5&gt;0),G5/F5,"")</f>
        <v/>
      </c>
      <c r="K5" s="3" t="s">
        <v>1118</v>
      </c>
    </row>
    <row r="6" customFormat="false" ht="15" hidden="false" customHeight="true" outlineLevel="0" collapsed="false">
      <c r="A6" s="5" t="s">
        <v>1119</v>
      </c>
      <c r="B6" s="5" t="s">
        <v>1117</v>
      </c>
      <c r="C6" s="5" t="s">
        <v>1120</v>
      </c>
      <c r="D6" s="38" t="n">
        <v>31.5</v>
      </c>
      <c r="E6" s="92"/>
      <c r="F6" s="43"/>
      <c r="G6" s="43"/>
      <c r="H6" s="26" t="str">
        <f aca="false">IF(E6&gt;0,D6/E6,"")</f>
        <v/>
      </c>
      <c r="I6" s="26" t="str">
        <f aca="false">IF(F6&gt;0,D6/F6,"")</f>
        <v/>
      </c>
      <c r="J6" s="47" t="str">
        <f aca="false">IF(AND(F6&gt;0,G6&gt;0),G6/F6,"")</f>
        <v/>
      </c>
      <c r="K6" s="3" t="s">
        <v>1118</v>
      </c>
    </row>
    <row r="7" customFormat="false" ht="15" hidden="false" customHeight="true" outlineLevel="0" collapsed="false">
      <c r="A7" s="5" t="s">
        <v>1121</v>
      </c>
      <c r="B7" s="5" t="s">
        <v>1117</v>
      </c>
      <c r="C7" s="5" t="s">
        <v>1122</v>
      </c>
      <c r="D7" s="38" t="n">
        <v>19.9</v>
      </c>
      <c r="E7" s="35" t="n">
        <v>84</v>
      </c>
      <c r="F7" s="43"/>
      <c r="G7" s="43"/>
      <c r="H7" s="26" t="n">
        <f aca="false">IF(E7&gt;0,D7/E7,"")</f>
        <v>0.236904761904762</v>
      </c>
      <c r="I7" s="26" t="str">
        <f aca="false">IF(F7&gt;0,D7/F7,"")</f>
        <v/>
      </c>
      <c r="J7" s="47" t="str">
        <f aca="false">IF(AND(F7&gt;0,G7&gt;0),G7/F7,"")</f>
        <v/>
      </c>
      <c r="K7" s="3" t="s">
        <v>1118</v>
      </c>
    </row>
    <row r="8" customFormat="false" ht="15" hidden="false" customHeight="true" outlineLevel="0" collapsed="false">
      <c r="A8" s="5" t="s">
        <v>1123</v>
      </c>
      <c r="B8" s="5" t="s">
        <v>1117</v>
      </c>
      <c r="C8" s="5" t="s">
        <v>1122</v>
      </c>
      <c r="D8" s="38" t="n">
        <v>18.5</v>
      </c>
      <c r="E8" s="35" t="n">
        <v>84</v>
      </c>
      <c r="F8" s="43"/>
      <c r="G8" s="43"/>
      <c r="H8" s="26" t="n">
        <f aca="false">IF(E8&gt;0,D8/E8,"")</f>
        <v>0.220238095238095</v>
      </c>
      <c r="I8" s="26" t="str">
        <f aca="false">IF(F8&gt;0,D8/F8,"")</f>
        <v/>
      </c>
      <c r="J8" s="47" t="str">
        <f aca="false">IF(AND(F8&gt;0,G8&gt;0),G8/F8,"")</f>
        <v/>
      </c>
      <c r="K8" s="3" t="s">
        <v>1124</v>
      </c>
    </row>
    <row r="9" customFormat="false" ht="15" hidden="false" customHeight="true" outlineLevel="0" collapsed="false">
      <c r="A9" s="5" t="s">
        <v>1125</v>
      </c>
      <c r="B9" s="5" t="s">
        <v>1126</v>
      </c>
      <c r="C9" s="5" t="s">
        <v>81</v>
      </c>
      <c r="D9" s="38" t="n">
        <v>30.9</v>
      </c>
      <c r="E9" s="92"/>
      <c r="F9" s="43"/>
      <c r="G9" s="43"/>
      <c r="H9" s="26" t="str">
        <f aca="false">IF(E9&gt;0,D9/E9,"")</f>
        <v/>
      </c>
      <c r="I9" s="26" t="str">
        <f aca="false">IF(F9&gt;0,D9/F9,"")</f>
        <v/>
      </c>
      <c r="J9" s="47" t="str">
        <f aca="false">IF(AND(F9&gt;0,G9&gt;0),G9/F9,"")</f>
        <v/>
      </c>
      <c r="K9" s="3" t="s">
        <v>1127</v>
      </c>
    </row>
    <row r="10" customFormat="false" ht="15" hidden="false" customHeight="true" outlineLevel="0" collapsed="false">
      <c r="A10" s="5" t="s">
        <v>1128</v>
      </c>
      <c r="B10" s="5" t="s">
        <v>1117</v>
      </c>
      <c r="C10" s="5" t="s">
        <v>81</v>
      </c>
      <c r="D10" s="38" t="n">
        <v>21.5</v>
      </c>
      <c r="E10" s="92"/>
      <c r="F10" s="43"/>
      <c r="G10" s="43"/>
      <c r="H10" s="26" t="str">
        <f aca="false">IF(E10&gt;0,D10/E10,"")</f>
        <v/>
      </c>
      <c r="I10" s="26" t="str">
        <f aca="false">IF(F10&gt;0,D10/F10,"")</f>
        <v/>
      </c>
      <c r="J10" s="47" t="str">
        <f aca="false">IF(AND(F10&gt;0,G10&gt;0),G10/F10,"")</f>
        <v/>
      </c>
      <c r="K10" s="3" t="s">
        <v>1118</v>
      </c>
    </row>
    <row r="11" customFormat="false" ht="15" hidden="false" customHeight="true" outlineLevel="0" collapsed="false">
      <c r="A11" s="5" t="s">
        <v>1129</v>
      </c>
      <c r="B11" s="5" t="s">
        <v>1130</v>
      </c>
      <c r="C11" s="5" t="s">
        <v>81</v>
      </c>
      <c r="D11" s="38" t="n">
        <v>17.5</v>
      </c>
      <c r="E11" s="92"/>
      <c r="F11" s="43"/>
      <c r="G11" s="43"/>
      <c r="H11" s="26" t="str">
        <f aca="false">IF(E11&gt;0,D11/E11,"")</f>
        <v/>
      </c>
      <c r="I11" s="26" t="str">
        <f aca="false">IF(F11&gt;0,D11/F11,"")</f>
        <v/>
      </c>
      <c r="J11" s="47" t="str">
        <f aca="false">IF(AND(F11&gt;0,G11&gt;0),G11/F11,"")</f>
        <v/>
      </c>
      <c r="K11" s="3" t="s">
        <v>1131</v>
      </c>
    </row>
    <row r="12" customFormat="false" ht="15" hidden="false" customHeight="true" outlineLevel="0" collapsed="false">
      <c r="A12" s="5" t="s">
        <v>1132</v>
      </c>
      <c r="B12" s="5" t="s">
        <v>1117</v>
      </c>
      <c r="C12" s="5" t="s">
        <v>81</v>
      </c>
      <c r="D12" s="38" t="n">
        <v>15.5</v>
      </c>
      <c r="E12" s="92"/>
      <c r="F12" s="43"/>
      <c r="G12" s="43"/>
      <c r="H12" s="26" t="str">
        <f aca="false">IF(E12&gt;0,D12/E12,"")</f>
        <v/>
      </c>
      <c r="I12" s="26" t="str">
        <f aca="false">IF(F12&gt;0,D12/F12,"")</f>
        <v/>
      </c>
      <c r="J12" s="47" t="str">
        <f aca="false">IF(AND(F12&gt;0,G12&gt;0),G12/F12,"")</f>
        <v/>
      </c>
      <c r="K12" s="3" t="s">
        <v>1118</v>
      </c>
    </row>
    <row r="13" customFormat="false" ht="15" hidden="false" customHeight="true" outlineLevel="0" collapsed="false">
      <c r="A13" s="5" t="s">
        <v>1133</v>
      </c>
      <c r="B13" s="5" t="s">
        <v>1130</v>
      </c>
      <c r="C13" s="5" t="s">
        <v>1134</v>
      </c>
      <c r="D13" s="38" t="n">
        <v>23.5</v>
      </c>
      <c r="E13" s="92"/>
      <c r="F13" s="43"/>
      <c r="G13" s="43"/>
      <c r="H13" s="26" t="str">
        <f aca="false">IF(E13&gt;0,D13/E13,"")</f>
        <v/>
      </c>
      <c r="I13" s="26" t="str">
        <f aca="false">IF(F13&gt;0,D13/F13,"")</f>
        <v/>
      </c>
      <c r="J13" s="47" t="str">
        <f aca="false">IF(AND(F13&gt;0,G13&gt;0),G13/F13,"")</f>
        <v/>
      </c>
      <c r="K13" s="3" t="s">
        <v>1131</v>
      </c>
    </row>
    <row r="14" customFormat="false" ht="15" hidden="false" customHeight="true" outlineLevel="0" collapsed="false">
      <c r="A14" s="5" t="s">
        <v>1135</v>
      </c>
      <c r="B14" s="5" t="s">
        <v>1117</v>
      </c>
      <c r="C14" s="5" t="s">
        <v>1134</v>
      </c>
      <c r="D14" s="38" t="n">
        <v>21.9</v>
      </c>
      <c r="E14" s="92"/>
      <c r="F14" s="43"/>
      <c r="G14" s="43"/>
      <c r="H14" s="26" t="str">
        <f aca="false">IF(E14&gt;0,D14/E14,"")</f>
        <v/>
      </c>
      <c r="I14" s="26" t="str">
        <f aca="false">IF(F14&gt;0,D14/F14,"")</f>
        <v/>
      </c>
      <c r="J14" s="47" t="str">
        <f aca="false">IF(AND(F14&gt;0,G14&gt;0),G14/F14,"")</f>
        <v/>
      </c>
      <c r="K14" s="3" t="s">
        <v>1118</v>
      </c>
    </row>
    <row r="15" customFormat="false" ht="15" hidden="false" customHeight="true" outlineLevel="0" collapsed="false">
      <c r="A15" s="5" t="s">
        <v>1136</v>
      </c>
      <c r="B15" s="5" t="s">
        <v>1130</v>
      </c>
      <c r="C15" s="5" t="s">
        <v>1134</v>
      </c>
      <c r="D15" s="38" t="n">
        <v>17.5</v>
      </c>
      <c r="E15" s="92"/>
      <c r="F15" s="43"/>
      <c r="G15" s="43"/>
      <c r="H15" s="26" t="str">
        <f aca="false">IF(E15&gt;0,D15/E15,"")</f>
        <v/>
      </c>
      <c r="I15" s="26" t="str">
        <f aca="false">IF(F15&gt;0,D15/F15,"")</f>
        <v/>
      </c>
      <c r="J15" s="47" t="str">
        <f aca="false">IF(AND(F15&gt;0,G15&gt;0),G15/F15,"")</f>
        <v/>
      </c>
      <c r="K15" s="3" t="s">
        <v>1131</v>
      </c>
    </row>
    <row r="17" customFormat="false" ht="15" hidden="false" customHeight="true" outlineLevel="0" collapsed="false">
      <c r="A17" s="3" t="s">
        <v>1137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3" min="12" style="1" width="9"/>
    <col collapsed="false" customWidth="true" hidden="false" outlineLevel="0" max="14" min="14" style="1" width="40"/>
  </cols>
  <sheetData>
    <row r="1" customFormat="false" ht="18" hidden="false" customHeight="true" outlineLevel="0" collapsed="false">
      <c r="A1" s="2" t="s">
        <v>1138</v>
      </c>
    </row>
    <row r="2" customFormat="false" ht="15" hidden="false" customHeight="true" outlineLevel="0" collapsed="false">
      <c r="A2" s="3" t="s">
        <v>1139</v>
      </c>
    </row>
    <row r="4" customFormat="false" ht="15" hidden="false" customHeight="true" outlineLevel="0" collapsed="false">
      <c r="A4" s="21" t="s">
        <v>1140</v>
      </c>
      <c r="B4" s="11" t="s">
        <v>1141</v>
      </c>
    </row>
    <row r="5" customFormat="false" ht="15" hidden="false" customHeight="true" outlineLevel="0" collapsed="false">
      <c r="A5" s="21" t="s">
        <v>1142</v>
      </c>
      <c r="B5" s="44" t="n">
        <v>6</v>
      </c>
    </row>
    <row r="6" customFormat="false" ht="15" hidden="false" customHeight="true" outlineLevel="0" collapsed="false">
      <c r="A6" s="21" t="s">
        <v>1143</v>
      </c>
      <c r="B6" s="11" t="n">
        <v>430</v>
      </c>
    </row>
    <row r="7" customFormat="false" ht="15" hidden="false" customHeight="true" outlineLevel="0" collapsed="false">
      <c r="A7" s="21" t="s">
        <v>1144</v>
      </c>
      <c r="B7" s="32" t="n">
        <v>0.03</v>
      </c>
    </row>
    <row r="8" customFormat="false" ht="15" hidden="false" customHeight="true" outlineLevel="0" collapsed="false">
      <c r="A8" s="21" t="s">
        <v>1145</v>
      </c>
      <c r="B8" s="11" t="n">
        <v>168</v>
      </c>
    </row>
    <row r="10" customFormat="false" ht="15" hidden="false" customHeight="true" outlineLevel="0" collapsed="false">
      <c r="A10" s="17" t="s">
        <v>1146</v>
      </c>
      <c r="B10" s="18" t="s">
        <v>751</v>
      </c>
      <c r="C10" s="18" t="s">
        <v>1147</v>
      </c>
      <c r="D10" s="18" t="s">
        <v>1148</v>
      </c>
      <c r="E10" s="18" t="s">
        <v>1149</v>
      </c>
      <c r="F10" s="18" t="s">
        <v>1150</v>
      </c>
      <c r="G10" s="18" t="s">
        <v>1151</v>
      </c>
      <c r="H10" s="18" t="s">
        <v>1152</v>
      </c>
      <c r="I10" s="18" t="s">
        <v>1153</v>
      </c>
      <c r="J10" s="18" t="s">
        <v>1154</v>
      </c>
      <c r="K10" s="18" t="s">
        <v>1155</v>
      </c>
      <c r="L10" s="18" t="s">
        <v>1156</v>
      </c>
      <c r="M10" s="18" t="s">
        <v>1157</v>
      </c>
      <c r="N10" s="18" t="s">
        <v>1158</v>
      </c>
    </row>
    <row r="11" customFormat="false" ht="15" hidden="false" customHeight="true" outlineLevel="0" collapsed="false">
      <c r="A11" s="22" t="n">
        <v>1</v>
      </c>
      <c r="B11" s="93" t="n">
        <v>46315</v>
      </c>
      <c r="C11" s="44" t="n">
        <v>3</v>
      </c>
      <c r="D11" s="74" t="n">
        <f aca="false">IF(C11="","",SUM($C$11:C11))</f>
        <v>3</v>
      </c>
      <c r="E11" s="44" t="n">
        <v>422.9</v>
      </c>
      <c r="F11" s="74" t="n">
        <f aca="false">IF(E11="","",$B$6-E11)</f>
        <v>7.10000000000002</v>
      </c>
      <c r="G11" s="47" t="n">
        <f aca="false">IF(OR(E11="",D11=""),"",F11/D11)</f>
        <v>2.36666666666667</v>
      </c>
      <c r="H11" s="22" t="n">
        <f aca="false">IF(G11="","",$B$6*(1-$B$7)/G11)</f>
        <v>176.239436619718</v>
      </c>
      <c r="I11" s="5" t="str">
        <f aca="false">IF(H11="","",IF(H11&gt;=$B$8,"Sí","No"))</f>
        <v>Sí</v>
      </c>
      <c r="J11" s="35" t="n">
        <v>18</v>
      </c>
      <c r="K11" s="35" t="n">
        <v>41</v>
      </c>
      <c r="L11" s="11" t="s">
        <v>1159</v>
      </c>
      <c r="M11" s="11" t="s">
        <v>1159</v>
      </c>
      <c r="N11" s="11" t="s">
        <v>1160</v>
      </c>
    </row>
    <row r="12" customFormat="false" ht="15" hidden="false" customHeight="true" outlineLevel="0" collapsed="false">
      <c r="A12" s="22" t="n">
        <v>2</v>
      </c>
      <c r="B12" s="93" t="n">
        <v>46316</v>
      </c>
      <c r="C12" s="44" t="n">
        <v>3</v>
      </c>
      <c r="D12" s="74" t="n">
        <f aca="false">IF(C12="","",SUM($C$11:C12))</f>
        <v>6</v>
      </c>
      <c r="E12" s="44" t="n">
        <v>415.7</v>
      </c>
      <c r="F12" s="74" t="n">
        <f aca="false">IF(E12="","",$B$6-E12)</f>
        <v>14.3</v>
      </c>
      <c r="G12" s="47" t="n">
        <f aca="false">IF(OR(E12="",D12=""),"",F12/D12)</f>
        <v>2.38333333333334</v>
      </c>
      <c r="H12" s="22" t="n">
        <f aca="false">IF(G12="","",$B$6*(1-$B$7)/G12)</f>
        <v>175.006993006993</v>
      </c>
      <c r="I12" s="5" t="str">
        <f aca="false">IF(H12="","",IF(H12&gt;=$B$8,"Sí","No"))</f>
        <v>Sí</v>
      </c>
      <c r="J12" s="35" t="n">
        <v>17</v>
      </c>
      <c r="K12" s="35" t="n">
        <v>43</v>
      </c>
      <c r="L12" s="11" t="s">
        <v>1159</v>
      </c>
      <c r="M12" s="11" t="s">
        <v>1159</v>
      </c>
      <c r="N12" s="94"/>
    </row>
    <row r="13" customFormat="false" ht="15" hidden="false" customHeight="true" outlineLevel="0" collapsed="false">
      <c r="A13" s="22" t="n">
        <v>3</v>
      </c>
      <c r="B13" s="93" t="n">
        <v>46317</v>
      </c>
      <c r="C13" s="44" t="n">
        <v>4</v>
      </c>
      <c r="D13" s="74" t="n">
        <f aca="false">IF(C13="","",SUM($C$11:C13))</f>
        <v>10</v>
      </c>
      <c r="E13" s="44" t="n">
        <v>406.1</v>
      </c>
      <c r="F13" s="74" t="n">
        <f aca="false">IF(E13="","",$B$6-E13)</f>
        <v>23.9</v>
      </c>
      <c r="G13" s="47" t="n">
        <f aca="false">IF(OR(E13="",D13=""),"",F13/D13)</f>
        <v>2.39</v>
      </c>
      <c r="H13" s="22" t="n">
        <f aca="false">IF(G13="","",$B$6*(1-$B$7)/G13)</f>
        <v>174.518828451883</v>
      </c>
      <c r="I13" s="5" t="str">
        <f aca="false">IF(H13="","",IF(H13&gt;=$B$8,"Sí","No"))</f>
        <v>Sí</v>
      </c>
      <c r="J13" s="35" t="n">
        <v>17</v>
      </c>
      <c r="K13" s="35" t="n">
        <v>44</v>
      </c>
      <c r="L13" s="11" t="s">
        <v>1159</v>
      </c>
      <c r="M13" s="11" t="s">
        <v>1159</v>
      </c>
      <c r="N13" s="94"/>
    </row>
    <row r="14" customFormat="false" ht="15" hidden="false" customHeight="true" outlineLevel="0" collapsed="false">
      <c r="A14" s="22" t="n">
        <v>4</v>
      </c>
      <c r="B14" s="94"/>
      <c r="C14" s="94"/>
      <c r="D14" s="74" t="str">
        <f aca="false">IF(C14="","",SUM($C$11:C14))</f>
        <v/>
      </c>
      <c r="E14" s="94"/>
      <c r="F14" s="74" t="str">
        <f aca="false">IF(E14="","",$B$6-E14)</f>
        <v/>
      </c>
      <c r="G14" s="47" t="str">
        <f aca="false">IF(OR(E14="",D14=""),"",F14/D14)</f>
        <v/>
      </c>
      <c r="H14" s="22" t="str">
        <f aca="false">IF(G14="","",$B$6*(1-$B$7)/G14)</f>
        <v/>
      </c>
      <c r="I14" s="5" t="str">
        <f aca="false">IF(H14="","",IF(H14&gt;=$B$8,"Sí","No"))</f>
        <v/>
      </c>
      <c r="J14" s="94"/>
      <c r="K14" s="94"/>
      <c r="L14" s="94"/>
      <c r="M14" s="94"/>
      <c r="N14" s="94"/>
    </row>
    <row r="15" customFormat="false" ht="15" hidden="false" customHeight="true" outlineLevel="0" collapsed="false">
      <c r="A15" s="22" t="n">
        <v>5</v>
      </c>
      <c r="B15" s="94"/>
      <c r="C15" s="94"/>
      <c r="D15" s="74" t="str">
        <f aca="false">IF(C15="","",SUM($C$11:C15))</f>
        <v/>
      </c>
      <c r="E15" s="94"/>
      <c r="F15" s="74" t="str">
        <f aca="false">IF(E15="","",$B$6-E15)</f>
        <v/>
      </c>
      <c r="G15" s="47" t="str">
        <f aca="false">IF(OR(E15="",D15=""),"",F15/D15)</f>
        <v/>
      </c>
      <c r="H15" s="22" t="str">
        <f aca="false">IF(G15="","",$B$6*(1-$B$7)/G15)</f>
        <v/>
      </c>
      <c r="I15" s="5" t="str">
        <f aca="false">IF(H15="","",IF(H15&gt;=$B$8,"Sí","No"))</f>
        <v/>
      </c>
      <c r="J15" s="94"/>
      <c r="K15" s="94"/>
      <c r="L15" s="94"/>
      <c r="M15" s="94"/>
      <c r="N15" s="94"/>
    </row>
    <row r="16" customFormat="false" ht="15" hidden="false" customHeight="true" outlineLevel="0" collapsed="false">
      <c r="A16" s="22" t="n">
        <v>6</v>
      </c>
      <c r="B16" s="94"/>
      <c r="C16" s="94"/>
      <c r="D16" s="74" t="str">
        <f aca="false">IF(C16="","",SUM($C$11:C16))</f>
        <v/>
      </c>
      <c r="E16" s="94"/>
      <c r="F16" s="74" t="str">
        <f aca="false">IF(E16="","",$B$6-E16)</f>
        <v/>
      </c>
      <c r="G16" s="47" t="str">
        <f aca="false">IF(OR(E16="",D16=""),"",F16/D16)</f>
        <v/>
      </c>
      <c r="H16" s="22" t="str">
        <f aca="false">IF(G16="","",$B$6*(1-$B$7)/G16)</f>
        <v/>
      </c>
      <c r="I16" s="5" t="str">
        <f aca="false">IF(H16="","",IF(H16&gt;=$B$8,"Sí","No"))</f>
        <v/>
      </c>
      <c r="J16" s="94"/>
      <c r="K16" s="94"/>
      <c r="L16" s="94"/>
      <c r="M16" s="94"/>
      <c r="N16" s="94"/>
    </row>
    <row r="17" customFormat="false" ht="15" hidden="false" customHeight="true" outlineLevel="0" collapsed="false">
      <c r="A17" s="22" t="n">
        <v>7</v>
      </c>
      <c r="B17" s="94"/>
      <c r="C17" s="94"/>
      <c r="D17" s="74" t="str">
        <f aca="false">IF(C17="","",SUM($C$11:C17))</f>
        <v/>
      </c>
      <c r="E17" s="94"/>
      <c r="F17" s="74" t="str">
        <f aca="false">IF(E17="","",$B$6-E17)</f>
        <v/>
      </c>
      <c r="G17" s="47" t="str">
        <f aca="false">IF(OR(E17="",D17=""),"",F17/D17)</f>
        <v/>
      </c>
      <c r="H17" s="22" t="str">
        <f aca="false">IF(G17="","",$B$6*(1-$B$7)/G17)</f>
        <v/>
      </c>
      <c r="I17" s="5" t="str">
        <f aca="false">IF(H17="","",IF(H17&gt;=$B$8,"Sí","No"))</f>
        <v/>
      </c>
      <c r="J17" s="94"/>
      <c r="K17" s="94"/>
      <c r="L17" s="94"/>
      <c r="M17" s="94"/>
      <c r="N17" s="94"/>
    </row>
    <row r="18" customFormat="false" ht="15" hidden="false" customHeight="true" outlineLevel="0" collapsed="false">
      <c r="A18" s="22" t="n">
        <v>8</v>
      </c>
      <c r="B18" s="94"/>
      <c r="C18" s="94"/>
      <c r="D18" s="74" t="str">
        <f aca="false">IF(C18="","",SUM($C$11:C18))</f>
        <v/>
      </c>
      <c r="E18" s="94"/>
      <c r="F18" s="74" t="str">
        <f aca="false">IF(E18="","",$B$6-E18)</f>
        <v/>
      </c>
      <c r="G18" s="47" t="str">
        <f aca="false">IF(OR(E18="",D18=""),"",F18/D18)</f>
        <v/>
      </c>
      <c r="H18" s="22" t="str">
        <f aca="false">IF(G18="","",$B$6*(1-$B$7)/G18)</f>
        <v/>
      </c>
      <c r="I18" s="5" t="str">
        <f aca="false">IF(H18="","",IF(H18&gt;=$B$8,"Sí","No"))</f>
        <v/>
      </c>
      <c r="J18" s="94"/>
      <c r="K18" s="94"/>
      <c r="L18" s="94"/>
      <c r="M18" s="94"/>
      <c r="N18" s="94"/>
    </row>
    <row r="19" customFormat="false" ht="15" hidden="false" customHeight="true" outlineLevel="0" collapsed="false">
      <c r="A19" s="22" t="n">
        <v>9</v>
      </c>
      <c r="B19" s="94"/>
      <c r="C19" s="94"/>
      <c r="D19" s="74" t="str">
        <f aca="false">IF(C19="","",SUM($C$11:C19))</f>
        <v/>
      </c>
      <c r="E19" s="94"/>
      <c r="F19" s="74" t="str">
        <f aca="false">IF(E19="","",$B$6-E19)</f>
        <v/>
      </c>
      <c r="G19" s="47" t="str">
        <f aca="false">IF(OR(E19="",D19=""),"",F19/D19)</f>
        <v/>
      </c>
      <c r="H19" s="22" t="str">
        <f aca="false">IF(G19="","",$B$6*(1-$B$7)/G19)</f>
        <v/>
      </c>
      <c r="I19" s="5" t="str">
        <f aca="false">IF(H19="","",IF(H19&gt;=$B$8,"Sí","No"))</f>
        <v/>
      </c>
      <c r="J19" s="94"/>
      <c r="K19" s="94"/>
      <c r="L19" s="94"/>
      <c r="M19" s="94"/>
      <c r="N19" s="94"/>
    </row>
    <row r="20" customFormat="false" ht="15" hidden="false" customHeight="true" outlineLevel="0" collapsed="false">
      <c r="A20" s="22" t="n">
        <v>10</v>
      </c>
      <c r="B20" s="94"/>
      <c r="C20" s="94"/>
      <c r="D20" s="74" t="str">
        <f aca="false">IF(C20="","",SUM($C$11:C20))</f>
        <v/>
      </c>
      <c r="E20" s="94"/>
      <c r="F20" s="74" t="str">
        <f aca="false">IF(E20="","",$B$6-E20)</f>
        <v/>
      </c>
      <c r="G20" s="47" t="str">
        <f aca="false">IF(OR(E20="",D20=""),"",F20/D20)</f>
        <v/>
      </c>
      <c r="H20" s="22" t="str">
        <f aca="false">IF(G20="","",$B$6*(1-$B$7)/G20)</f>
        <v/>
      </c>
      <c r="I20" s="5" t="str">
        <f aca="false">IF(H20="","",IF(H20&gt;=$B$8,"Sí","No"))</f>
        <v/>
      </c>
      <c r="J20" s="94"/>
      <c r="K20" s="94"/>
      <c r="L20" s="94"/>
      <c r="M20" s="94"/>
      <c r="N20" s="94"/>
    </row>
    <row r="21" customFormat="false" ht="15" hidden="false" customHeight="true" outlineLevel="0" collapsed="false">
      <c r="A21" s="22" t="n">
        <v>11</v>
      </c>
      <c r="B21" s="94"/>
      <c r="C21" s="94"/>
      <c r="D21" s="74" t="str">
        <f aca="false">IF(C21="","",SUM($C$11:C21))</f>
        <v/>
      </c>
      <c r="E21" s="94"/>
      <c r="F21" s="74" t="str">
        <f aca="false">IF(E21="","",$B$6-E21)</f>
        <v/>
      </c>
      <c r="G21" s="47" t="str">
        <f aca="false">IF(OR(E21="",D21=""),"",F21/D21)</f>
        <v/>
      </c>
      <c r="H21" s="22" t="str">
        <f aca="false">IF(G21="","",$B$6*(1-$B$7)/G21)</f>
        <v/>
      </c>
      <c r="I21" s="5" t="str">
        <f aca="false">IF(H21="","",IF(H21&gt;=$B$8,"Sí","No"))</f>
        <v/>
      </c>
      <c r="J21" s="94"/>
      <c r="K21" s="94"/>
      <c r="L21" s="94"/>
      <c r="M21" s="94"/>
      <c r="N21" s="94"/>
    </row>
    <row r="22" customFormat="false" ht="15" hidden="false" customHeight="true" outlineLevel="0" collapsed="false">
      <c r="A22" s="22" t="n">
        <v>12</v>
      </c>
      <c r="B22" s="94"/>
      <c r="C22" s="94"/>
      <c r="D22" s="74" t="str">
        <f aca="false">IF(C22="","",SUM($C$11:C22))</f>
        <v/>
      </c>
      <c r="E22" s="94"/>
      <c r="F22" s="74" t="str">
        <f aca="false">IF(E22="","",$B$6-E22)</f>
        <v/>
      </c>
      <c r="G22" s="47" t="str">
        <f aca="false">IF(OR(E22="",D22=""),"",F22/D22)</f>
        <v/>
      </c>
      <c r="H22" s="22" t="str">
        <f aca="false">IF(G22="","",$B$6*(1-$B$7)/G22)</f>
        <v/>
      </c>
      <c r="I22" s="5" t="str">
        <f aca="false">IF(H22="","",IF(H22&gt;=$B$8,"Sí","No"))</f>
        <v/>
      </c>
      <c r="J22" s="94"/>
      <c r="K22" s="94"/>
      <c r="L22" s="94"/>
      <c r="M22" s="94"/>
      <c r="N22" s="94"/>
    </row>
    <row r="23" customFormat="false" ht="15" hidden="false" customHeight="true" outlineLevel="0" collapsed="false">
      <c r="A23" s="22" t="n">
        <v>13</v>
      </c>
      <c r="B23" s="94"/>
      <c r="C23" s="94"/>
      <c r="D23" s="74" t="str">
        <f aca="false">IF(C23="","",SUM($C$11:C23))</f>
        <v/>
      </c>
      <c r="E23" s="94"/>
      <c r="F23" s="74" t="str">
        <f aca="false">IF(E23="","",$B$6-E23)</f>
        <v/>
      </c>
      <c r="G23" s="47" t="str">
        <f aca="false">IF(OR(E23="",D23=""),"",F23/D23)</f>
        <v/>
      </c>
      <c r="H23" s="22" t="str">
        <f aca="false">IF(G23="","",$B$6*(1-$B$7)/G23)</f>
        <v/>
      </c>
      <c r="I23" s="5" t="str">
        <f aca="false">IF(H23="","",IF(H23&gt;=$B$8,"Sí","No"))</f>
        <v/>
      </c>
      <c r="J23" s="94"/>
      <c r="K23" s="94"/>
      <c r="L23" s="94"/>
      <c r="M23" s="94"/>
      <c r="N23" s="94"/>
    </row>
    <row r="24" customFormat="false" ht="15" hidden="false" customHeight="true" outlineLevel="0" collapsed="false">
      <c r="A24" s="22" t="n">
        <v>14</v>
      </c>
      <c r="B24" s="94"/>
      <c r="C24" s="94"/>
      <c r="D24" s="74" t="str">
        <f aca="false">IF(C24="","",SUM($C$11:C24))</f>
        <v/>
      </c>
      <c r="E24" s="94"/>
      <c r="F24" s="74" t="str">
        <f aca="false">IF(E24="","",$B$6-E24)</f>
        <v/>
      </c>
      <c r="G24" s="47" t="str">
        <f aca="false">IF(OR(E24="",D24=""),"",F24/D24)</f>
        <v/>
      </c>
      <c r="H24" s="22" t="str">
        <f aca="false">IF(G24="","",$B$6*(1-$B$7)/G24)</f>
        <v/>
      </c>
      <c r="I24" s="5" t="str">
        <f aca="false">IF(H24="","",IF(H24&gt;=$B$8,"Sí","No"))</f>
        <v/>
      </c>
      <c r="J24" s="94"/>
      <c r="K24" s="94"/>
      <c r="L24" s="94"/>
      <c r="M24" s="94"/>
      <c r="N24" s="94"/>
    </row>
    <row r="25" customFormat="false" ht="15" hidden="false" customHeight="true" outlineLevel="0" collapsed="false">
      <c r="A25" s="22" t="n">
        <v>15</v>
      </c>
      <c r="B25" s="94"/>
      <c r="C25" s="94"/>
      <c r="D25" s="74" t="str">
        <f aca="false">IF(C25="","",SUM($C$11:C25))</f>
        <v/>
      </c>
      <c r="E25" s="94"/>
      <c r="F25" s="74" t="str">
        <f aca="false">IF(E25="","",$B$6-E25)</f>
        <v/>
      </c>
      <c r="G25" s="47" t="str">
        <f aca="false">IF(OR(E25="",D25=""),"",F25/D25)</f>
        <v/>
      </c>
      <c r="H25" s="22" t="str">
        <f aca="false">IF(G25="","",$B$6*(1-$B$7)/G25)</f>
        <v/>
      </c>
      <c r="I25" s="5" t="str">
        <f aca="false">IF(H25="","",IF(H25&gt;=$B$8,"Sí","No"))</f>
        <v/>
      </c>
      <c r="J25" s="94"/>
      <c r="K25" s="94"/>
      <c r="L25" s="94"/>
      <c r="M25" s="94"/>
      <c r="N25" s="94"/>
    </row>
    <row r="26" customFormat="false" ht="15" hidden="false" customHeight="true" outlineLevel="0" collapsed="false">
      <c r="A26" s="22" t="n">
        <v>16</v>
      </c>
      <c r="B26" s="94"/>
      <c r="C26" s="94"/>
      <c r="D26" s="74" t="str">
        <f aca="false">IF(C26="","",SUM($C$11:C26))</f>
        <v/>
      </c>
      <c r="E26" s="94"/>
      <c r="F26" s="74" t="str">
        <f aca="false">IF(E26="","",$B$6-E26)</f>
        <v/>
      </c>
      <c r="G26" s="47" t="str">
        <f aca="false">IF(OR(E26="",D26=""),"",F26/D26)</f>
        <v/>
      </c>
      <c r="H26" s="22" t="str">
        <f aca="false">IF(G26="","",$B$6*(1-$B$7)/G26)</f>
        <v/>
      </c>
      <c r="I26" s="5" t="str">
        <f aca="false">IF(H26="","",IF(H26&gt;=$B$8,"Sí","No"))</f>
        <v/>
      </c>
      <c r="J26" s="94"/>
      <c r="K26" s="94"/>
      <c r="L26" s="94"/>
      <c r="M26" s="94"/>
      <c r="N26" s="94"/>
    </row>
    <row r="27" customFormat="false" ht="15" hidden="false" customHeight="true" outlineLevel="0" collapsed="false">
      <c r="A27" s="22" t="n">
        <v>17</v>
      </c>
      <c r="B27" s="94"/>
      <c r="C27" s="94"/>
      <c r="D27" s="74" t="str">
        <f aca="false">IF(C27="","",SUM($C$11:C27))</f>
        <v/>
      </c>
      <c r="E27" s="94"/>
      <c r="F27" s="74" t="str">
        <f aca="false">IF(E27="","",$B$6-E27)</f>
        <v/>
      </c>
      <c r="G27" s="47" t="str">
        <f aca="false">IF(OR(E27="",D27=""),"",F27/D27)</f>
        <v/>
      </c>
      <c r="H27" s="22" t="str">
        <f aca="false">IF(G27="","",$B$6*(1-$B$7)/G27)</f>
        <v/>
      </c>
      <c r="I27" s="5" t="str">
        <f aca="false">IF(H27="","",IF(H27&gt;=$B$8,"Sí","No"))</f>
        <v/>
      </c>
      <c r="J27" s="94"/>
      <c r="K27" s="94"/>
      <c r="L27" s="94"/>
      <c r="M27" s="94"/>
      <c r="N27" s="94"/>
    </row>
    <row r="28" customFormat="false" ht="15" hidden="false" customHeight="true" outlineLevel="0" collapsed="false">
      <c r="A28" s="22" t="n">
        <v>18</v>
      </c>
      <c r="B28" s="94"/>
      <c r="C28" s="94"/>
      <c r="D28" s="74" t="str">
        <f aca="false">IF(C28="","",SUM($C$11:C28))</f>
        <v/>
      </c>
      <c r="E28" s="94"/>
      <c r="F28" s="74" t="str">
        <f aca="false">IF(E28="","",$B$6-E28)</f>
        <v/>
      </c>
      <c r="G28" s="47" t="str">
        <f aca="false">IF(OR(E28="",D28=""),"",F28/D28)</f>
        <v/>
      </c>
      <c r="H28" s="22" t="str">
        <f aca="false">IF(G28="","",$B$6*(1-$B$7)/G28)</f>
        <v/>
      </c>
      <c r="I28" s="5" t="str">
        <f aca="false">IF(H28="","",IF(H28&gt;=$B$8,"Sí","No"))</f>
        <v/>
      </c>
      <c r="J28" s="94"/>
      <c r="K28" s="94"/>
      <c r="L28" s="94"/>
      <c r="M28" s="94"/>
      <c r="N28" s="94"/>
    </row>
    <row r="29" customFormat="false" ht="15" hidden="false" customHeight="true" outlineLevel="0" collapsed="false">
      <c r="A29" s="22" t="n">
        <v>19</v>
      </c>
      <c r="B29" s="94"/>
      <c r="C29" s="94"/>
      <c r="D29" s="74" t="str">
        <f aca="false">IF(C29="","",SUM($C$11:C29))</f>
        <v/>
      </c>
      <c r="E29" s="94"/>
      <c r="F29" s="74" t="str">
        <f aca="false">IF(E29="","",$B$6-E29)</f>
        <v/>
      </c>
      <c r="G29" s="47" t="str">
        <f aca="false">IF(OR(E29="",D29=""),"",F29/D29)</f>
        <v/>
      </c>
      <c r="H29" s="22" t="str">
        <f aca="false">IF(G29="","",$B$6*(1-$B$7)/G29)</f>
        <v/>
      </c>
      <c r="I29" s="5" t="str">
        <f aca="false">IF(H29="","",IF(H29&gt;=$B$8,"Sí","No"))</f>
        <v/>
      </c>
      <c r="J29" s="94"/>
      <c r="K29" s="94"/>
      <c r="L29" s="94"/>
      <c r="M29" s="94"/>
      <c r="N29" s="94"/>
    </row>
    <row r="30" customFormat="false" ht="15" hidden="false" customHeight="true" outlineLevel="0" collapsed="false">
      <c r="A30" s="22" t="n">
        <v>20</v>
      </c>
      <c r="B30" s="94"/>
      <c r="C30" s="94"/>
      <c r="D30" s="74" t="str">
        <f aca="false">IF(C30="","",SUM($C$11:C30))</f>
        <v/>
      </c>
      <c r="E30" s="94"/>
      <c r="F30" s="74" t="str">
        <f aca="false">IF(E30="","",$B$6-E30)</f>
        <v/>
      </c>
      <c r="G30" s="47" t="str">
        <f aca="false">IF(OR(E30="",D30=""),"",F30/D30)</f>
        <v/>
      </c>
      <c r="H30" s="22" t="str">
        <f aca="false">IF(G30="","",$B$6*(1-$B$7)/G30)</f>
        <v/>
      </c>
      <c r="I30" s="5" t="str">
        <f aca="false">IF(H30="","",IF(H30&gt;=$B$8,"Sí","No"))</f>
        <v/>
      </c>
      <c r="J30" s="94"/>
      <c r="K30" s="94"/>
      <c r="L30" s="94"/>
      <c r="M30" s="94"/>
      <c r="N30" s="94"/>
    </row>
    <row r="31" customFormat="false" ht="15" hidden="false" customHeight="true" outlineLevel="0" collapsed="false">
      <c r="A31" s="22" t="n">
        <v>21</v>
      </c>
      <c r="B31" s="94"/>
      <c r="C31" s="94"/>
      <c r="D31" s="74" t="str">
        <f aca="false">IF(C31="","",SUM($C$11:C31))</f>
        <v/>
      </c>
      <c r="E31" s="94"/>
      <c r="F31" s="74" t="str">
        <f aca="false">IF(E31="","",$B$6-E31)</f>
        <v/>
      </c>
      <c r="G31" s="47" t="str">
        <f aca="false">IF(OR(E31="",D31=""),"",F31/D31)</f>
        <v/>
      </c>
      <c r="H31" s="22" t="str">
        <f aca="false">IF(G31="","",$B$6*(1-$B$7)/G31)</f>
        <v/>
      </c>
      <c r="I31" s="5" t="str">
        <f aca="false">IF(H31="","",IF(H31&gt;=$B$8,"Sí","No"))</f>
        <v/>
      </c>
      <c r="J31" s="94"/>
      <c r="K31" s="94"/>
      <c r="L31" s="94"/>
      <c r="M31" s="94"/>
      <c r="N31" s="94"/>
    </row>
    <row r="32" customFormat="false" ht="15" hidden="false" customHeight="true" outlineLevel="0" collapsed="false">
      <c r="A32" s="22" t="n">
        <v>22</v>
      </c>
      <c r="B32" s="94"/>
      <c r="C32" s="94"/>
      <c r="D32" s="74" t="str">
        <f aca="false">IF(C32="","",SUM($C$11:C32))</f>
        <v/>
      </c>
      <c r="E32" s="94"/>
      <c r="F32" s="74" t="str">
        <f aca="false">IF(E32="","",$B$6-E32)</f>
        <v/>
      </c>
      <c r="G32" s="47" t="str">
        <f aca="false">IF(OR(E32="",D32=""),"",F32/D32)</f>
        <v/>
      </c>
      <c r="H32" s="22" t="str">
        <f aca="false">IF(G32="","",$B$6*(1-$B$7)/G32)</f>
        <v/>
      </c>
      <c r="I32" s="5" t="str">
        <f aca="false">IF(H32="","",IF(H32&gt;=$B$8,"Sí","No"))</f>
        <v/>
      </c>
      <c r="J32" s="94"/>
      <c r="K32" s="94"/>
      <c r="L32" s="94"/>
      <c r="M32" s="94"/>
      <c r="N32" s="94"/>
    </row>
    <row r="33" customFormat="false" ht="15" hidden="false" customHeight="true" outlineLevel="0" collapsed="false">
      <c r="A33" s="22" t="n">
        <v>23</v>
      </c>
      <c r="B33" s="94"/>
      <c r="C33" s="94"/>
      <c r="D33" s="74" t="str">
        <f aca="false">IF(C33="","",SUM($C$11:C33))</f>
        <v/>
      </c>
      <c r="E33" s="94"/>
      <c r="F33" s="74" t="str">
        <f aca="false">IF(E33="","",$B$6-E33)</f>
        <v/>
      </c>
      <c r="G33" s="47" t="str">
        <f aca="false">IF(OR(E33="",D33=""),"",F33/D33)</f>
        <v/>
      </c>
      <c r="H33" s="22" t="str">
        <f aca="false">IF(G33="","",$B$6*(1-$B$7)/G33)</f>
        <v/>
      </c>
      <c r="I33" s="5" t="str">
        <f aca="false">IF(H33="","",IF(H33&gt;=$B$8,"Sí","No"))</f>
        <v/>
      </c>
      <c r="J33" s="94"/>
      <c r="K33" s="94"/>
      <c r="L33" s="94"/>
      <c r="M33" s="94"/>
      <c r="N33" s="94"/>
    </row>
    <row r="34" customFormat="false" ht="15" hidden="false" customHeight="true" outlineLevel="0" collapsed="false">
      <c r="A34" s="22" t="n">
        <v>24</v>
      </c>
      <c r="B34" s="94"/>
      <c r="C34" s="94"/>
      <c r="D34" s="74" t="str">
        <f aca="false">IF(C34="","",SUM($C$11:C34))</f>
        <v/>
      </c>
      <c r="E34" s="94"/>
      <c r="F34" s="74" t="str">
        <f aca="false">IF(E34="","",$B$6-E34)</f>
        <v/>
      </c>
      <c r="G34" s="47" t="str">
        <f aca="false">IF(OR(E34="",D34=""),"",F34/D34)</f>
        <v/>
      </c>
      <c r="H34" s="22" t="str">
        <f aca="false">IF(G34="","",$B$6*(1-$B$7)/G34)</f>
        <v/>
      </c>
      <c r="I34" s="5" t="str">
        <f aca="false">IF(H34="","",IF(H34&gt;=$B$8,"Sí","No"))</f>
        <v/>
      </c>
      <c r="J34" s="94"/>
      <c r="K34" s="94"/>
      <c r="L34" s="94"/>
      <c r="M34" s="94"/>
      <c r="N34" s="94"/>
    </row>
    <row r="35" customFormat="false" ht="15" hidden="false" customHeight="true" outlineLevel="0" collapsed="false">
      <c r="A35" s="22" t="n">
        <v>25</v>
      </c>
      <c r="B35" s="94"/>
      <c r="C35" s="94"/>
      <c r="D35" s="74" t="str">
        <f aca="false">IF(C35="","",SUM($C$11:C35))</f>
        <v/>
      </c>
      <c r="E35" s="94"/>
      <c r="F35" s="74" t="str">
        <f aca="false">IF(E35="","",$B$6-E35)</f>
        <v/>
      </c>
      <c r="G35" s="47" t="str">
        <f aca="false">IF(OR(E35="",D35=""),"",F35/D35)</f>
        <v/>
      </c>
      <c r="H35" s="22" t="str">
        <f aca="false">IF(G35="","",$B$6*(1-$B$7)/G35)</f>
        <v/>
      </c>
      <c r="I35" s="5" t="str">
        <f aca="false">IF(H35="","",IF(H35&gt;=$B$8,"Sí","No"))</f>
        <v/>
      </c>
      <c r="J35" s="94"/>
      <c r="K35" s="94"/>
      <c r="L35" s="94"/>
      <c r="M35" s="94"/>
      <c r="N35" s="94"/>
    </row>
    <row r="37" customFormat="false" ht="15" hidden="false" customHeight="true" outlineLevel="0" collapsed="false">
      <c r="A37" s="21" t="s">
        <v>1161</v>
      </c>
      <c r="C37" s="31" t="n">
        <f aca="false">IFERROR(INDEX(G11:G35,MATCH(9.99E+307,G11:G35)),"")</f>
        <v>2.39</v>
      </c>
    </row>
    <row r="38" customFormat="false" ht="15" hidden="false" customHeight="true" outlineLevel="0" collapsed="false">
      <c r="A38" s="3" t="s">
        <v>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32"/>
    <col collapsed="false" customWidth="true" hidden="false" outlineLevel="0" max="5" min="5" style="1" width="60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18" hidden="false" customHeight="true" outlineLevel="0" collapsed="false">
      <c r="A1" s="2" t="s">
        <v>1163</v>
      </c>
    </row>
    <row r="2" customFormat="false" ht="15" hidden="false" customHeight="true" outlineLevel="0" collapsed="false">
      <c r="A2" s="3" t="s">
        <v>1164</v>
      </c>
    </row>
    <row r="4" customFormat="false" ht="15" hidden="false" customHeight="true" outlineLevel="0" collapsed="false">
      <c r="A4" s="17" t="s">
        <v>942</v>
      </c>
      <c r="B4" s="18" t="s">
        <v>1165</v>
      </c>
      <c r="C4" s="18" t="s">
        <v>1166</v>
      </c>
      <c r="D4" s="18" t="s">
        <v>1167</v>
      </c>
      <c r="E4" s="18" t="s">
        <v>1168</v>
      </c>
      <c r="F4" s="18" t="s">
        <v>1169</v>
      </c>
      <c r="G4" s="18" t="s">
        <v>1170</v>
      </c>
      <c r="H4" s="18" t="s">
        <v>1171</v>
      </c>
    </row>
    <row r="5" customFormat="false" ht="15" hidden="false" customHeight="true" outlineLevel="0" collapsed="false">
      <c r="A5" s="22" t="n">
        <v>1</v>
      </c>
      <c r="B5" s="5" t="s">
        <v>1172</v>
      </c>
      <c r="C5" s="21" t="s">
        <v>521</v>
      </c>
      <c r="D5" s="3" t="s">
        <v>1173</v>
      </c>
      <c r="E5" s="5" t="s">
        <v>1174</v>
      </c>
      <c r="F5" s="94"/>
      <c r="G5" s="95"/>
      <c r="H5" s="11" t="s">
        <v>1175</v>
      </c>
    </row>
    <row r="6" customFormat="false" ht="15" hidden="false" customHeight="true" outlineLevel="0" collapsed="false">
      <c r="A6" s="22" t="n">
        <v>2</v>
      </c>
      <c r="B6" s="5" t="s">
        <v>1176</v>
      </c>
      <c r="C6" s="21" t="s">
        <v>521</v>
      </c>
      <c r="D6" s="3" t="s">
        <v>1177</v>
      </c>
      <c r="E6" s="5" t="s">
        <v>1178</v>
      </c>
      <c r="F6" s="94"/>
      <c r="G6" s="95"/>
      <c r="H6" s="11" t="s">
        <v>1175</v>
      </c>
    </row>
    <row r="7" customFormat="false" ht="15" hidden="false" customHeight="true" outlineLevel="0" collapsed="false">
      <c r="A7" s="22" t="n">
        <v>3</v>
      </c>
      <c r="B7" s="5" t="s">
        <v>1179</v>
      </c>
      <c r="C7" s="21" t="s">
        <v>521</v>
      </c>
      <c r="D7" s="3" t="s">
        <v>1173</v>
      </c>
      <c r="E7" s="5" t="s">
        <v>1180</v>
      </c>
      <c r="F7" s="94"/>
      <c r="G7" s="95"/>
      <c r="H7" s="11" t="s">
        <v>1175</v>
      </c>
    </row>
    <row r="8" customFormat="false" ht="15" hidden="false" customHeight="true" outlineLevel="0" collapsed="false">
      <c r="A8" s="22" t="n">
        <v>4</v>
      </c>
      <c r="B8" s="5" t="s">
        <v>1181</v>
      </c>
      <c r="C8" s="21" t="s">
        <v>521</v>
      </c>
      <c r="D8" s="3" t="s">
        <v>1182</v>
      </c>
      <c r="E8" s="5" t="s">
        <v>1183</v>
      </c>
      <c r="F8" s="94"/>
      <c r="G8" s="95"/>
      <c r="H8" s="11" t="s">
        <v>1175</v>
      </c>
    </row>
    <row r="9" customFormat="false" ht="15" hidden="false" customHeight="true" outlineLevel="0" collapsed="false">
      <c r="A9" s="22" t="n">
        <v>5</v>
      </c>
      <c r="B9" s="5" t="s">
        <v>760</v>
      </c>
      <c r="C9" s="21" t="s">
        <v>521</v>
      </c>
      <c r="D9" s="3" t="s">
        <v>1184</v>
      </c>
      <c r="E9" s="5" t="s">
        <v>1185</v>
      </c>
      <c r="F9" s="94"/>
      <c r="G9" s="95"/>
      <c r="H9" s="11" t="s">
        <v>1175</v>
      </c>
    </row>
    <row r="10" customFormat="false" ht="15" hidden="false" customHeight="true" outlineLevel="0" collapsed="false">
      <c r="A10" s="22" t="n">
        <v>6</v>
      </c>
      <c r="B10" s="5" t="s">
        <v>1186</v>
      </c>
      <c r="C10" s="21" t="s">
        <v>521</v>
      </c>
      <c r="D10" s="3" t="s">
        <v>1187</v>
      </c>
      <c r="E10" s="5" t="s">
        <v>1188</v>
      </c>
      <c r="F10" s="94"/>
      <c r="G10" s="95"/>
      <c r="H10" s="11" t="s">
        <v>1175</v>
      </c>
    </row>
    <row r="11" customFormat="false" ht="15" hidden="false" customHeight="true" outlineLevel="0" collapsed="false">
      <c r="A11" s="22" t="n">
        <v>7</v>
      </c>
      <c r="B11" s="5" t="s">
        <v>1189</v>
      </c>
      <c r="C11" s="5" t="s">
        <v>520</v>
      </c>
      <c r="D11" s="3" t="s">
        <v>1190</v>
      </c>
      <c r="E11" s="5" t="s">
        <v>1191</v>
      </c>
      <c r="F11" s="94"/>
      <c r="G11" s="95"/>
      <c r="H11" s="11" t="s">
        <v>1175</v>
      </c>
    </row>
    <row r="12" customFormat="false" ht="15" hidden="false" customHeight="true" outlineLevel="0" collapsed="false">
      <c r="A12" s="22" t="n">
        <v>8</v>
      </c>
      <c r="B12" s="5" t="s">
        <v>1192</v>
      </c>
      <c r="C12" s="21" t="s">
        <v>521</v>
      </c>
      <c r="D12" s="3" t="s">
        <v>1193</v>
      </c>
      <c r="E12" s="5" t="s">
        <v>1194</v>
      </c>
      <c r="F12" s="94"/>
      <c r="G12" s="95"/>
      <c r="H12" s="11" t="s">
        <v>1175</v>
      </c>
    </row>
    <row r="13" customFormat="false" ht="15" hidden="false" customHeight="true" outlineLevel="0" collapsed="false">
      <c r="A13" s="22" t="n">
        <v>9</v>
      </c>
      <c r="B13" s="5" t="s">
        <v>1195</v>
      </c>
      <c r="C13" s="5" t="s">
        <v>520</v>
      </c>
      <c r="D13" s="3" t="s">
        <v>44</v>
      </c>
      <c r="E13" s="5" t="s">
        <v>1196</v>
      </c>
      <c r="F13" s="94"/>
      <c r="G13" s="95"/>
      <c r="H13" s="11" t="s">
        <v>1175</v>
      </c>
    </row>
    <row r="14" customFormat="false" ht="15" hidden="false" customHeight="true" outlineLevel="0" collapsed="false">
      <c r="A14" s="22" t="n">
        <v>10</v>
      </c>
      <c r="B14" s="5" t="s">
        <v>1197</v>
      </c>
      <c r="C14" s="5" t="s">
        <v>520</v>
      </c>
      <c r="D14" s="3" t="s">
        <v>1198</v>
      </c>
      <c r="E14" s="5" t="s">
        <v>1199</v>
      </c>
      <c r="F14" s="94"/>
      <c r="G14" s="95"/>
      <c r="H14" s="11" t="s">
        <v>1175</v>
      </c>
    </row>
    <row r="15" customFormat="false" ht="15" hidden="false" customHeight="true" outlineLevel="0" collapsed="false">
      <c r="A15" s="22" t="n">
        <v>11</v>
      </c>
      <c r="B15" s="5" t="s">
        <v>1200</v>
      </c>
      <c r="C15" s="5" t="s">
        <v>520</v>
      </c>
      <c r="D15" s="3" t="s">
        <v>1108</v>
      </c>
      <c r="E15" s="5" t="s">
        <v>1201</v>
      </c>
      <c r="F15" s="94"/>
      <c r="G15" s="95"/>
      <c r="H15" s="11" t="s">
        <v>1175</v>
      </c>
    </row>
    <row r="16" customFormat="false" ht="15" hidden="false" customHeight="true" outlineLevel="0" collapsed="false">
      <c r="A16" s="22" t="n">
        <v>12</v>
      </c>
      <c r="B16" s="5" t="s">
        <v>1202</v>
      </c>
      <c r="C16" s="5" t="s">
        <v>520</v>
      </c>
      <c r="D16" s="3" t="s">
        <v>1203</v>
      </c>
      <c r="E16" s="5" t="s">
        <v>1204</v>
      </c>
      <c r="F16" s="94"/>
      <c r="G16" s="95"/>
      <c r="H16" s="11" t="s">
        <v>1175</v>
      </c>
    </row>
    <row r="17" customFormat="false" ht="15" hidden="false" customHeight="true" outlineLevel="0" collapsed="false">
      <c r="A17" s="22" t="n">
        <v>13</v>
      </c>
      <c r="B17" s="5" t="s">
        <v>1205</v>
      </c>
      <c r="C17" s="5" t="s">
        <v>520</v>
      </c>
      <c r="D17" s="3" t="s">
        <v>1206</v>
      </c>
      <c r="E17" s="5" t="s">
        <v>1207</v>
      </c>
      <c r="F17" s="94"/>
      <c r="G17" s="95"/>
      <c r="H17" s="11" t="s">
        <v>1175</v>
      </c>
    </row>
    <row r="18" customFormat="false" ht="15" hidden="false" customHeight="true" outlineLevel="0" collapsed="false">
      <c r="A18" s="22" t="n">
        <v>14</v>
      </c>
      <c r="B18" s="5" t="s">
        <v>1208</v>
      </c>
      <c r="C18" s="5" t="s">
        <v>520</v>
      </c>
      <c r="D18" s="3" t="s">
        <v>1206</v>
      </c>
      <c r="E18" s="5" t="s">
        <v>1209</v>
      </c>
      <c r="F18" s="94"/>
      <c r="G18" s="95"/>
      <c r="H18" s="11" t="s">
        <v>1175</v>
      </c>
    </row>
    <row r="19" customFormat="false" ht="15" hidden="false" customHeight="true" outlineLevel="0" collapsed="false">
      <c r="A19" s="22" t="n">
        <v>15</v>
      </c>
      <c r="B19" s="5" t="s">
        <v>1210</v>
      </c>
      <c r="C19" s="21" t="s">
        <v>521</v>
      </c>
      <c r="D19" s="3" t="s">
        <v>1211</v>
      </c>
      <c r="E19" s="5" t="s">
        <v>1212</v>
      </c>
      <c r="F19" s="94"/>
      <c r="G19" s="95"/>
      <c r="H19" s="11" t="s">
        <v>1175</v>
      </c>
    </row>
    <row r="20" customFormat="false" ht="15" hidden="false" customHeight="true" outlineLevel="0" collapsed="false">
      <c r="A20" s="22" t="n">
        <v>16</v>
      </c>
      <c r="B20" s="5" t="s">
        <v>1213</v>
      </c>
      <c r="C20" s="21" t="s">
        <v>521</v>
      </c>
      <c r="D20" s="3" t="s">
        <v>1211</v>
      </c>
      <c r="E20" s="5" t="s">
        <v>1214</v>
      </c>
      <c r="F20" s="94"/>
      <c r="G20" s="95"/>
      <c r="H20" s="11" t="s">
        <v>1175</v>
      </c>
    </row>
    <row r="21" customFormat="false" ht="15" hidden="false" customHeight="true" outlineLevel="0" collapsed="false">
      <c r="A21" s="22" t="n">
        <v>17</v>
      </c>
      <c r="B21" s="5" t="s">
        <v>1215</v>
      </c>
      <c r="C21" s="5" t="s">
        <v>520</v>
      </c>
      <c r="D21" s="3" t="s">
        <v>1216</v>
      </c>
      <c r="E21" s="5" t="s">
        <v>1217</v>
      </c>
      <c r="F21" s="94"/>
      <c r="G21" s="95"/>
      <c r="H21" s="11" t="s">
        <v>1175</v>
      </c>
    </row>
    <row r="22" customFormat="false" ht="15" hidden="false" customHeight="true" outlineLevel="0" collapsed="false">
      <c r="A22" s="22" t="n">
        <v>18</v>
      </c>
      <c r="B22" s="5" t="s">
        <v>1218</v>
      </c>
      <c r="C22" s="5" t="s">
        <v>520</v>
      </c>
      <c r="D22" s="3" t="s">
        <v>42</v>
      </c>
      <c r="E22" s="5" t="s">
        <v>1219</v>
      </c>
      <c r="F22" s="94"/>
      <c r="G22" s="95"/>
      <c r="H22" s="11" t="s">
        <v>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3" min="3" style="1" width="100"/>
  </cols>
  <sheetData>
    <row r="1" customFormat="false" ht="18" hidden="false" customHeight="true" outlineLevel="0" collapsed="false">
      <c r="A1" s="2" t="s">
        <v>1220</v>
      </c>
    </row>
    <row r="2" customFormat="false" ht="15" hidden="false" customHeight="true" outlineLevel="0" collapsed="false">
      <c r="A2" s="3" t="s">
        <v>1221</v>
      </c>
    </row>
    <row r="4" customFormat="false" ht="15" hidden="false" customHeight="true" outlineLevel="0" collapsed="false">
      <c r="A4" s="17" t="s">
        <v>1222</v>
      </c>
      <c r="B4" s="18" t="s">
        <v>1223</v>
      </c>
      <c r="C4" s="18" t="s">
        <v>1115</v>
      </c>
    </row>
    <row r="5" customFormat="false" ht="15" hidden="false" customHeight="true" outlineLevel="0" collapsed="false">
      <c r="A5" s="5" t="s">
        <v>122</v>
      </c>
      <c r="B5" s="5" t="s">
        <v>1224</v>
      </c>
      <c r="C5" s="5" t="s">
        <v>1225</v>
      </c>
    </row>
    <row r="6" customFormat="false" ht="15" hidden="false" customHeight="true" outlineLevel="0" collapsed="false">
      <c r="A6" s="5" t="s">
        <v>1226</v>
      </c>
      <c r="B6" s="5" t="s">
        <v>1227</v>
      </c>
      <c r="C6" s="5" t="s">
        <v>1228</v>
      </c>
    </row>
    <row r="7" customFormat="false" ht="15" hidden="false" customHeight="true" outlineLevel="0" collapsed="false">
      <c r="A7" s="5" t="s">
        <v>1229</v>
      </c>
      <c r="B7" s="5" t="s">
        <v>1230</v>
      </c>
      <c r="C7" s="5" t="s">
        <v>1231</v>
      </c>
    </row>
    <row r="8" customFormat="false" ht="15" hidden="false" customHeight="true" outlineLevel="0" collapsed="false">
      <c r="A8" s="5" t="s">
        <v>1232</v>
      </c>
      <c r="B8" s="5" t="s">
        <v>1233</v>
      </c>
      <c r="C8" s="5" t="s">
        <v>1234</v>
      </c>
    </row>
    <row r="9" customFormat="false" ht="15" hidden="false" customHeight="true" outlineLevel="0" collapsed="false">
      <c r="A9" s="5" t="s">
        <v>1235</v>
      </c>
      <c r="B9" s="5" t="s">
        <v>1236</v>
      </c>
      <c r="C9" s="5" t="s">
        <v>1237</v>
      </c>
    </row>
    <row r="10" customFormat="false" ht="15" hidden="false" customHeight="true" outlineLevel="0" collapsed="false">
      <c r="A10" s="5" t="s">
        <v>1238</v>
      </c>
      <c r="B10" s="5" t="s">
        <v>1239</v>
      </c>
      <c r="C10" s="5" t="s">
        <v>1240</v>
      </c>
    </row>
    <row r="11" customFormat="false" ht="15" hidden="false" customHeight="true" outlineLevel="0" collapsed="false">
      <c r="A11" s="5" t="s">
        <v>1238</v>
      </c>
      <c r="B11" s="5" t="s">
        <v>1241</v>
      </c>
      <c r="C11" s="5" t="s">
        <v>1242</v>
      </c>
    </row>
    <row r="12" customFormat="false" ht="15" hidden="false" customHeight="true" outlineLevel="0" collapsed="false">
      <c r="A12" s="5" t="s">
        <v>1243</v>
      </c>
      <c r="B12" s="5" t="s">
        <v>1244</v>
      </c>
      <c r="C12" s="5" t="s">
        <v>1245</v>
      </c>
    </row>
    <row r="13" customFormat="false" ht="15" hidden="false" customHeight="true" outlineLevel="0" collapsed="false">
      <c r="A13" s="5" t="s">
        <v>1246</v>
      </c>
      <c r="B13" s="5" t="s">
        <v>1247</v>
      </c>
      <c r="C13" s="5" t="s">
        <v>1248</v>
      </c>
    </row>
    <row r="14" customFormat="false" ht="15" hidden="false" customHeight="true" outlineLevel="0" collapsed="false">
      <c r="A14" s="5" t="s">
        <v>1249</v>
      </c>
      <c r="B14" s="5" t="s">
        <v>1250</v>
      </c>
      <c r="C14" s="5" t="s">
        <v>1251</v>
      </c>
    </row>
    <row r="15" customFormat="false" ht="15" hidden="false" customHeight="true" outlineLevel="0" collapsed="false">
      <c r="A15" s="5" t="s">
        <v>1252</v>
      </c>
      <c r="B15" s="5" t="s">
        <v>1253</v>
      </c>
      <c r="C15" s="5" t="s">
        <v>1254</v>
      </c>
    </row>
    <row r="16" customFormat="false" ht="15" hidden="false" customHeight="true" outlineLevel="0" collapsed="false">
      <c r="A16" s="5" t="s">
        <v>1255</v>
      </c>
      <c r="B16" s="5" t="s">
        <v>1256</v>
      </c>
      <c r="C16" s="5" t="s">
        <v>1257</v>
      </c>
    </row>
    <row r="17" customFormat="false" ht="15" hidden="false" customHeight="true" outlineLevel="0" collapsed="false">
      <c r="A17" s="5" t="s">
        <v>1258</v>
      </c>
      <c r="B17" s="5" t="s">
        <v>1259</v>
      </c>
      <c r="C17" s="5" t="s">
        <v>1260</v>
      </c>
    </row>
  </sheetData>
  <hyperlinks>
    <hyperlink ref="C5" r:id="rId1" display="https://dolardof.com/"/>
    <hyperlink ref="C6" r:id="rId2" display="https://www.chemanalyst.com/Pricing-data/paraffin-wax-1205"/>
    <hyperlink ref="C7" r:id="rId3" display="https://fortia.com.mx/sueldo-beneficios-y-prestaciones/salario-minimo-en-mexico/"/>
    <hyperlink ref="C8" r:id="rId4" display="https://eleventa.com/blog/calcular-ganancias-tienda-abarrotes"/>
    <hyperlink ref="C9" r:id="rId5" display="https://www.solunion.mx/blog/luces-que-mueven-la-economia-el-mercado-de-veladoras-en-mexico/"/>
    <hyperlink ref="C10" r:id="rId6" display="https://www.scorpion.com.mx/tienda/hogar-y-limpieza/hogar/veladoras-y-cerillos.html"/>
    <hyperlink ref="C11" r:id="rId7" display="https://superlavioleta.com/collections/velas-y-veladoras"/>
    <hyperlink ref="C12" r:id="rId8" display="https://alsuper.com/producto/veladora-repuesto-sin-vaso-no.21-368629"/>
    <hyperlink ref="C13" r:id="rId9" display="https://merceriaalma.com.mx/ceras-botanicas-naturales/1040-cera-de-abeja-1kg.html"/>
    <hyperlink ref="C14" r:id="rId10" display="https://www.wivoanalytics.com/blog/cuanto-cobra-mercado-libre-por-venta-en-2025-guia-completa-de-comisiones-envios-y-mas"/>
    <hyperlink ref="C15" r:id="rId11" display="https://es.wikipedia.org/wiki/Di%C3%B3cesis_de_Torre%C3%B3n"/>
    <hyperlink ref="C16" r:id="rId12" display="https://www.artesacro.org/Noticia.asp?idreg=27843"/>
    <hyperlink ref="C17" r:id="rId13" display="https://enrichbodycare.com/container-candle-burning-time-tes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2026-10-04T02:40:42Z</dcterms:created>
  <dc:creator>Ricardo López Reyero</dc:creator>
  <dc:description/>
  <cp:keywords>EYE 181218</cp:keywords>
  <dc:language>en-US</dc:language>
  <cp:lastModifiedBy/>
  <dcterms:modified xsi:type="dcterms:W3CDTF">2026-10-03T21:17:01Z</dcterms:modified>
  <cp:revision>2</cp:revision>
  <dc:subject/>
  <dc:title>La Vela · Modelo de negocio v2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